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VIJAY\Desktop\Excel DataSet\Nifty50\"/>
    </mc:Choice>
  </mc:AlternateContent>
  <xr:revisionPtr revIDLastSave="0" documentId="13_ncr:1_{4E5C9670-F18A-4324-80AC-C54DBBBD4CA2}" xr6:coauthVersionLast="47" xr6:coauthVersionMax="47" xr10:uidLastSave="{00000000-0000-0000-0000-000000000000}"/>
  <bookViews>
    <workbookView xWindow="2715" yWindow="2085" windowWidth="16200" windowHeight="9360" activeTab="4" xr2:uid="{00000000-000D-0000-FFFF-FFFF00000000}"/>
  </bookViews>
  <sheets>
    <sheet name="NIFTY50" sheetId="1" r:id="rId1"/>
    <sheet name="KPI" sheetId="6" r:id="rId2"/>
    <sheet name="KPI output" sheetId="7" r:id="rId3"/>
    <sheet name="KPI charts" sheetId="9" r:id="rId4"/>
    <sheet name="Dashboard" sheetId="8" r:id="rId5"/>
    <sheet name="Pivot Table" sheetId="4" state="hidden" r:id="rId6"/>
    <sheet name="Pivot table2" sheetId="5" state="hidden" r:id="rId7"/>
    <sheet name="Pivot charts" sheetId="3" state="hidden" r:id="rId8"/>
  </sheets>
  <definedNames>
    <definedName name="Slicer_P_L">#N/A</definedName>
    <definedName name="Slicer_P_L1">#N/A</definedName>
    <definedName name="Slicer_SYMBOL">#N/A</definedName>
    <definedName name="Slicer_SYMBOL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6" l="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D5" i="6"/>
  <c r="G2" i="1"/>
  <c r="H2" i="1" s="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D7" i="6" s="1"/>
  <c r="U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 r="D6" i="6" s="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2" i="1"/>
  <c r="O2" i="1" s="1"/>
  <c r="G3" i="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V45" i="1" l="1"/>
  <c r="X45" i="1" s="1"/>
  <c r="V8" i="1"/>
  <c r="X8" i="1" s="1"/>
  <c r="V12" i="1"/>
  <c r="X12" i="1" s="1"/>
  <c r="V16" i="1"/>
  <c r="X16" i="1" s="1"/>
  <c r="V20" i="1"/>
  <c r="X20" i="1" s="1"/>
  <c r="V36" i="1"/>
  <c r="X36" i="1" s="1"/>
  <c r="V40" i="1"/>
  <c r="X40" i="1" s="1"/>
  <c r="V44" i="1"/>
  <c r="X44" i="1" s="1"/>
  <c r="V48" i="1"/>
  <c r="X48" i="1" s="1"/>
  <c r="V3" i="1"/>
  <c r="X3" i="1" s="1"/>
  <c r="V7" i="1"/>
  <c r="X7" i="1" s="1"/>
  <c r="V17" i="1"/>
  <c r="X17" i="1" s="1"/>
  <c r="T52" i="1"/>
  <c r="U52" i="1"/>
  <c r="V2" i="1"/>
  <c r="V6" i="1"/>
  <c r="X6" i="1" s="1"/>
  <c r="V10" i="1"/>
  <c r="X10" i="1" s="1"/>
  <c r="V11" i="1"/>
  <c r="X11" i="1" s="1"/>
  <c r="V15" i="1"/>
  <c r="X15" i="1" s="1"/>
  <c r="V19" i="1"/>
  <c r="X19" i="1" s="1"/>
  <c r="V23" i="1"/>
  <c r="X23" i="1" s="1"/>
  <c r="V27" i="1"/>
  <c r="X27" i="1" s="1"/>
  <c r="V31" i="1"/>
  <c r="X31" i="1" s="1"/>
  <c r="V35" i="1"/>
  <c r="X35" i="1" s="1"/>
  <c r="V39" i="1"/>
  <c r="X39" i="1" s="1"/>
  <c r="V43" i="1"/>
  <c r="X43" i="1" s="1"/>
  <c r="V47" i="1"/>
  <c r="X47" i="1" s="1"/>
  <c r="V51" i="1"/>
  <c r="V4" i="1"/>
  <c r="X4" i="1" s="1"/>
  <c r="V32" i="1"/>
  <c r="X32" i="1" s="1"/>
  <c r="V14" i="1"/>
  <c r="X14" i="1" s="1"/>
  <c r="V18" i="1"/>
  <c r="X18" i="1" s="1"/>
  <c r="V22" i="1"/>
  <c r="X22" i="1" s="1"/>
  <c r="V26" i="1"/>
  <c r="X26" i="1" s="1"/>
  <c r="V34" i="1"/>
  <c r="X34" i="1" s="1"/>
  <c r="V38" i="1"/>
  <c r="X38" i="1" s="1"/>
  <c r="V42" i="1"/>
  <c r="X42" i="1" s="1"/>
  <c r="V46" i="1"/>
  <c r="X46" i="1" s="1"/>
  <c r="V50" i="1"/>
  <c r="X50" i="1" s="1"/>
  <c r="V24" i="1"/>
  <c r="X24" i="1" s="1"/>
  <c r="V28" i="1"/>
  <c r="X28" i="1" s="1"/>
  <c r="V5" i="1"/>
  <c r="X5" i="1" s="1"/>
  <c r="V9" i="1"/>
  <c r="X9" i="1" s="1"/>
  <c r="V25" i="1"/>
  <c r="X25" i="1" s="1"/>
  <c r="V29" i="1"/>
  <c r="X29" i="1" s="1"/>
  <c r="V33" i="1"/>
  <c r="X33" i="1" s="1"/>
  <c r="V37" i="1"/>
  <c r="X37" i="1" s="1"/>
  <c r="V13" i="1"/>
  <c r="X13" i="1" s="1"/>
  <c r="V21" i="1"/>
  <c r="X21" i="1" s="1"/>
  <c r="V41" i="1"/>
  <c r="X41" i="1" s="1"/>
  <c r="V49" i="1"/>
  <c r="X49" i="1" s="1"/>
  <c r="V30" i="1"/>
  <c r="X30" i="1" s="1"/>
  <c r="X2" i="1" l="1"/>
  <c r="D8" i="6"/>
  <c r="X51" i="1"/>
  <c r="V52" i="1"/>
</calcChain>
</file>

<file path=xl/sharedStrings.xml><?xml version="1.0" encoding="utf-8"?>
<sst xmlns="http://schemas.openxmlformats.org/spreadsheetml/2006/main" count="580" uniqueCount="121">
  <si>
    <t>TATACONSUM</t>
  </si>
  <si>
    <t>SBILIFE</t>
  </si>
  <si>
    <t>NESTLEIND</t>
  </si>
  <si>
    <t>ASIANPAINT</t>
  </si>
  <si>
    <t>MAXHEALTH</t>
  </si>
  <si>
    <t>HDFCLIFE</t>
  </si>
  <si>
    <t>CIPLA</t>
  </si>
  <si>
    <t>DRREDDY</t>
  </si>
  <si>
    <t>BAJAJ-AUTO</t>
  </si>
  <si>
    <t>JSWSTEEL</t>
  </si>
  <si>
    <t>HINDALCO</t>
  </si>
  <si>
    <t>ADANIPORTS</t>
  </si>
  <si>
    <t>TECHM</t>
  </si>
  <si>
    <t>EICHERMOT</t>
  </si>
  <si>
    <t>APOLLOHOSP</t>
  </si>
  <si>
    <t>TITAN</t>
  </si>
  <si>
    <t>BAJAJFINSV</t>
  </si>
  <si>
    <t>TRENT</t>
  </si>
  <si>
    <t>JIOFIN</t>
  </si>
  <si>
    <t>ULTRACEMCO</t>
  </si>
  <si>
    <t>ADANIENT</t>
  </si>
  <si>
    <t>WIPRO</t>
  </si>
  <si>
    <t>SUNPHARMA</t>
  </si>
  <si>
    <t>TMPV</t>
  </si>
  <si>
    <t>HINDUNILVR</t>
  </si>
  <si>
    <t>GRASIM</t>
  </si>
  <si>
    <t>ITC</t>
  </si>
  <si>
    <t>INDIGO</t>
  </si>
  <si>
    <t>TATASTEEL</t>
  </si>
  <si>
    <t>NTPC</t>
  </si>
  <si>
    <t>COALINDIA</t>
  </si>
  <si>
    <t>POWERGRID</t>
  </si>
  <si>
    <t>BEL</t>
  </si>
  <si>
    <t>ETERNAL</t>
  </si>
  <si>
    <t>BAJFINANCE</t>
  </si>
  <si>
    <t>MARUTI</t>
  </si>
  <si>
    <t>M&amp;M</t>
  </si>
  <si>
    <t>KOTAKBANK</t>
  </si>
  <si>
    <t>SHRIRAMFIN</t>
  </si>
  <si>
    <t>AXISBANK</t>
  </si>
  <si>
    <t>TCS</t>
  </si>
  <si>
    <t>HCLTECH</t>
  </si>
  <si>
    <t>LT</t>
  </si>
  <si>
    <t>INFY</t>
  </si>
  <si>
    <t>ONGC</t>
  </si>
  <si>
    <t>SBIN</t>
  </si>
  <si>
    <t>ICICIBANK</t>
  </si>
  <si>
    <t>RELIANCE</t>
  </si>
  <si>
    <t>BHARTIARTL</t>
  </si>
  <si>
    <t>HDFCBANK</t>
  </si>
  <si>
    <t>VOLUME 
(shares)</t>
  </si>
  <si>
    <t xml:space="preserve">LTP 
</t>
  </si>
  <si>
    <t xml:space="preserve">PREV. CLOSE 
</t>
  </si>
  <si>
    <t xml:space="preserve">LOW 
</t>
  </si>
  <si>
    <t xml:space="preserve">HIGH 
</t>
  </si>
  <si>
    <t xml:space="preserve">OPEN 
</t>
  </si>
  <si>
    <t xml:space="preserve">SYMBOL 
</t>
  </si>
  <si>
    <t xml:space="preserve">CHANGE
</t>
  </si>
  <si>
    <t xml:space="preserve">%CHANGE
</t>
  </si>
  <si>
    <t xml:space="preserve">52W H IGH
</t>
  </si>
  <si>
    <t xml:space="preserve">52W L OW
</t>
  </si>
  <si>
    <t>Target Diff</t>
  </si>
  <si>
    <t>Expected Target Price</t>
  </si>
  <si>
    <t>Expected %Target</t>
  </si>
  <si>
    <t>Zerodha</t>
  </si>
  <si>
    <t>Grow</t>
  </si>
  <si>
    <t>Upstocks</t>
  </si>
  <si>
    <t>Angelone</t>
  </si>
  <si>
    <t>Hdfcsky</t>
  </si>
  <si>
    <t>ICICIDirect</t>
  </si>
  <si>
    <t>Diff</t>
  </si>
  <si>
    <t>Intraday @BUY</t>
  </si>
  <si>
    <t>Intraday @SELL</t>
  </si>
  <si>
    <t>Platform</t>
  </si>
  <si>
    <t>Intraday BUY value</t>
  </si>
  <si>
    <t>Intraday SELL value</t>
  </si>
  <si>
    <t>BUY Quantity</t>
  </si>
  <si>
    <t>Row Labels</t>
  </si>
  <si>
    <t>Grand Total</t>
  </si>
  <si>
    <t>(All)</t>
  </si>
  <si>
    <t>Sum of Intraday BUY value</t>
  </si>
  <si>
    <t>Sum of Intraday SELL value</t>
  </si>
  <si>
    <t>P/L</t>
  </si>
  <si>
    <t>Sum of Expected Target Price</t>
  </si>
  <si>
    <t xml:space="preserve">Sum of LTP 
</t>
  </si>
  <si>
    <t>Sum of Target Diff</t>
  </si>
  <si>
    <t>OPEN PRICE</t>
  </si>
  <si>
    <t xml:space="preserve">DAY HIGH </t>
  </si>
  <si>
    <t xml:space="preserve">DAY LOW </t>
  </si>
  <si>
    <t xml:space="preserve">Sum of 52W L OW
</t>
  </si>
  <si>
    <t xml:space="preserve">Sum of 52W H IGH
</t>
  </si>
  <si>
    <t>TOTAL</t>
  </si>
  <si>
    <t>PARTICULARS</t>
  </si>
  <si>
    <t>BUY QUANTITY</t>
  </si>
  <si>
    <t>Intraday SELL Value</t>
  </si>
  <si>
    <t>Intraday BUY Value</t>
  </si>
  <si>
    <t>Intraday profit</t>
  </si>
  <si>
    <t>Intraday profit/-Loss</t>
  </si>
  <si>
    <t>KPI's</t>
  </si>
  <si>
    <t>questions</t>
  </si>
  <si>
    <t xml:space="preserve">4.which stock is more profitable If buy @ LTP now hold till target price? </t>
  </si>
  <si>
    <t>Potential Profit</t>
  </si>
  <si>
    <t>Potential profit</t>
  </si>
  <si>
    <t>potential profit</t>
  </si>
  <si>
    <t>Sum of Intraday profit/-Loss</t>
  </si>
  <si>
    <t>Top 10 volume change</t>
  </si>
  <si>
    <t>6.List Top 10 highest volume change stocks?</t>
  </si>
  <si>
    <t>%Potential Profit</t>
  </si>
  <si>
    <t>2.compare 52low and LTP of all the stock price below 1000?</t>
  </si>
  <si>
    <t>Min of Target Diff</t>
  </si>
  <si>
    <t>1.show bottom 8 stocks has lowest target difference?</t>
  </si>
  <si>
    <t>3.what are all the stocks generated highest profit?</t>
  </si>
  <si>
    <t>Intraday stocks highest profit</t>
  </si>
  <si>
    <t>Total profitable trades</t>
  </si>
  <si>
    <t>5.what is the total profitable trades?</t>
  </si>
  <si>
    <t>VOLUME CHANGE</t>
  </si>
  <si>
    <t>52W LOW</t>
  </si>
  <si>
    <t>LTP</t>
  </si>
  <si>
    <t>Sum of BUY Quantity</t>
  </si>
  <si>
    <t>Sum of Potential Profit</t>
  </si>
  <si>
    <t>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</si>
</sst>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 #,##0;&quot;₹&quot;\ \-#,##0"/>
    <numFmt numFmtId="164" formatCode="#,##0.0"/>
    <numFmt numFmtId="165" formatCode="0.00_ ;\-0.00\ "/>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22"/>
      <color rgb="FFFF0000"/>
      <name val="Calibri"/>
      <family val="2"/>
      <scheme val="minor"/>
    </font>
    <font>
      <sz val="22"/>
      <color theme="9"/>
      <name val="Calibri"/>
      <family val="2"/>
      <scheme val="minor"/>
    </font>
    <font>
      <sz val="22"/>
      <color rgb="FF7030A0"/>
      <name val="Calibri"/>
      <family val="2"/>
      <scheme val="minor"/>
    </font>
    <font>
      <sz val="22"/>
      <color rgb="FF0070C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0" fillId="0" borderId="1" xfId="0" applyBorder="1"/>
    <xf numFmtId="4" fontId="0" fillId="0" borderId="1" xfId="0" applyNumberFormat="1" applyBorder="1"/>
    <xf numFmtId="3" fontId="0" fillId="0" borderId="1" xfId="0" applyNumberFormat="1" applyBorder="1"/>
    <xf numFmtId="4" fontId="0" fillId="0" borderId="3" xfId="0" applyNumberFormat="1" applyBorder="1"/>
    <xf numFmtId="3" fontId="0" fillId="0" borderId="3" xfId="0" applyNumberFormat="1" applyBorder="1"/>
    <xf numFmtId="164" fontId="0" fillId="0" borderId="1" xfId="0" applyNumberFormat="1" applyBorder="1"/>
    <xf numFmtId="164" fontId="0" fillId="0" borderId="3" xfId="0" applyNumberFormat="1" applyBorder="1"/>
    <xf numFmtId="2" fontId="0" fillId="0" borderId="1" xfId="0" applyNumberFormat="1" applyBorder="1"/>
    <xf numFmtId="165" fontId="0" fillId="0" borderId="1" xfId="0" applyNumberFormat="1" applyBorder="1"/>
    <xf numFmtId="165" fontId="0" fillId="0" borderId="3" xfId="0" applyNumberFormat="1" applyBorder="1"/>
    <xf numFmtId="0" fontId="3" fillId="2" borderId="2" xfId="0" applyFont="1" applyFill="1" applyBorder="1" applyAlignment="1">
      <alignment horizontal="center" wrapText="1"/>
    </xf>
    <xf numFmtId="2" fontId="0" fillId="0" borderId="0" xfId="1" applyNumberFormat="1" applyFont="1"/>
    <xf numFmtId="0" fontId="3" fillId="2" borderId="1" xfId="0" applyFont="1" applyFill="1" applyBorder="1" applyAlignment="1">
      <alignment horizontal="center" wrapText="1"/>
    </xf>
    <xf numFmtId="2" fontId="0" fillId="0" borderId="1" xfId="1" applyNumberFormat="1" applyFont="1" applyFill="1" applyBorder="1"/>
    <xf numFmtId="2" fontId="0" fillId="0" borderId="1" xfId="1" applyNumberFormat="1" applyFont="1" applyBorder="1"/>
    <xf numFmtId="0" fontId="3" fillId="2" borderId="1" xfId="0" applyFont="1" applyFill="1" applyBorder="1" applyAlignment="1">
      <alignment horizontal="center" vertical="center" wrapText="1"/>
    </xf>
    <xf numFmtId="2" fontId="3" fillId="2" borderId="1" xfId="1" applyNumberFormat="1" applyFont="1" applyFill="1" applyBorder="1" applyAlignment="1">
      <alignment horizontal="center" vertical="center" wrapText="1"/>
    </xf>
    <xf numFmtId="0" fontId="3" fillId="2" borderId="4" xfId="0" applyFont="1" applyFill="1" applyBorder="1" applyAlignment="1">
      <alignment horizontal="center" wrapText="1"/>
    </xf>
    <xf numFmtId="0" fontId="2" fillId="0" borderId="5" xfId="0" applyFont="1" applyBorder="1"/>
    <xf numFmtId="0" fontId="2" fillId="0" borderId="6" xfId="0" applyFont="1" applyBorder="1"/>
    <xf numFmtId="0" fontId="0" fillId="0" borderId="0" xfId="0" pivotButton="1"/>
    <xf numFmtId="0" fontId="0" fillId="0" borderId="0" xfId="0" applyAlignment="1">
      <alignment horizontal="left"/>
    </xf>
    <xf numFmtId="3" fontId="0" fillId="0" borderId="0" xfId="0" applyNumberFormat="1"/>
    <xf numFmtId="0" fontId="0" fillId="2" borderId="7" xfId="0" applyFill="1" applyBorder="1"/>
    <xf numFmtId="0" fontId="4" fillId="3" borderId="8" xfId="0" applyFont="1" applyFill="1" applyBorder="1"/>
    <xf numFmtId="3" fontId="4" fillId="2" borderId="9" xfId="0" applyNumberFormat="1" applyFont="1" applyFill="1" applyBorder="1"/>
    <xf numFmtId="4" fontId="0" fillId="0" borderId="0" xfId="0" applyNumberFormat="1"/>
    <xf numFmtId="10" fontId="0" fillId="0" borderId="0" xfId="0" applyNumberFormat="1"/>
    <xf numFmtId="0" fontId="0" fillId="0" borderId="1" xfId="0" applyBorder="1" applyAlignment="1">
      <alignment horizontal="center" vertical="center"/>
    </xf>
    <xf numFmtId="2" fontId="0" fillId="0" borderId="0" xfId="0" applyNumberFormat="1"/>
    <xf numFmtId="0" fontId="0" fillId="0" borderId="1" xfId="0" applyBorder="1" applyAlignment="1">
      <alignment wrapText="1"/>
    </xf>
    <xf numFmtId="0" fontId="0" fillId="0" borderId="0" xfId="0" applyAlignment="1">
      <alignment wrapText="1"/>
    </xf>
    <xf numFmtId="3" fontId="4" fillId="2" borderId="0" xfId="0" applyNumberFormat="1" applyFont="1" applyFill="1"/>
    <xf numFmtId="5" fontId="6" fillId="0" borderId="1" xfId="0" applyNumberFormat="1" applyFont="1" applyBorder="1" applyAlignment="1">
      <alignment horizontal="left"/>
    </xf>
    <xf numFmtId="5" fontId="5" fillId="0" borderId="1" xfId="0" applyNumberFormat="1" applyFont="1" applyBorder="1" applyAlignment="1">
      <alignment horizontal="left"/>
    </xf>
    <xf numFmtId="5" fontId="7" fillId="0" borderId="1" xfId="0" applyNumberFormat="1" applyFont="1" applyBorder="1" applyAlignment="1">
      <alignment horizontal="left"/>
    </xf>
    <xf numFmtId="5" fontId="8" fillId="0" borderId="1" xfId="0" applyNumberFormat="1" applyFont="1" applyBorder="1" applyAlignment="1">
      <alignment horizontal="left"/>
    </xf>
    <xf numFmtId="0" fontId="5" fillId="0" borderId="1" xfId="0" applyFont="1" applyBorder="1" applyAlignment="1">
      <alignment horizontal="left"/>
    </xf>
  </cellXfs>
  <cellStyles count="2">
    <cellStyle name="Normal" xfId="0" builtinId="0"/>
    <cellStyle name="Percent" xfId="1" builtinId="5"/>
  </cellStyles>
  <dxfs count="51">
    <dxf>
      <fill>
        <patternFill>
          <bgColor rgb="FFFF0000"/>
        </patternFill>
      </fill>
    </dxf>
    <dxf>
      <fill>
        <patternFill>
          <bgColor rgb="FF92D050"/>
        </patternFill>
      </fill>
    </dxf>
    <dxf>
      <font>
        <color rgb="FF9C0006"/>
      </font>
      <fill>
        <patternFill>
          <bgColor rgb="FFFFC7CE"/>
        </patternFill>
      </fill>
    </dxf>
    <dxf>
      <border>
        <left style="thin">
          <color indexed="64"/>
        </left>
        <right style="thin">
          <color indexed="64"/>
        </right>
        <top style="thin">
          <color indexed="64"/>
        </top>
        <bottom style="thin">
          <color indexed="64"/>
        </bottom>
      </border>
    </dxf>
    <dxf>
      <font>
        <sz val="22"/>
      </font>
    </dxf>
    <dxf>
      <font>
        <color rgb="FFFF0000"/>
      </font>
    </dxf>
    <dxf>
      <alignment horizontal="left"/>
    </dxf>
    <dxf>
      <font>
        <color rgb="FF0070C0"/>
      </font>
    </dxf>
    <dxf>
      <border>
        <left style="thin">
          <color indexed="64"/>
        </left>
        <right style="thin">
          <color indexed="64"/>
        </right>
        <top style="thin">
          <color indexed="64"/>
        </top>
        <bottom style="thin">
          <color indexed="64"/>
        </bottom>
      </border>
    </dxf>
    <dxf>
      <font>
        <sz val="22"/>
      </font>
    </dxf>
    <dxf>
      <font>
        <color rgb="FF00B0F0"/>
      </font>
    </dxf>
    <dxf>
      <alignment horizontal="left"/>
    </dxf>
    <dxf>
      <font>
        <color rgb="FF7030A0"/>
      </font>
    </dxf>
    <dxf>
      <border>
        <left style="thin">
          <color indexed="64"/>
        </left>
        <right style="thin">
          <color indexed="64"/>
        </right>
        <top style="thin">
          <color indexed="64"/>
        </top>
        <bottom style="thin">
          <color indexed="64"/>
        </bottom>
      </border>
    </dxf>
    <dxf>
      <font>
        <color rgb="FF00B050"/>
      </font>
    </dxf>
    <dxf>
      <font>
        <sz val="22"/>
      </font>
    </dxf>
    <dxf>
      <alignment horizontal="left"/>
    </dxf>
    <dxf>
      <border>
        <left style="thin">
          <color indexed="64"/>
        </left>
        <right style="thin">
          <color indexed="64"/>
        </right>
        <top style="thin">
          <color indexed="64"/>
        </top>
        <bottom style="thin">
          <color indexed="64"/>
        </bottom>
      </border>
    </dxf>
    <dxf>
      <font>
        <sz val="22"/>
      </font>
    </dxf>
    <dxf>
      <font>
        <color rgb="FFFF0000"/>
      </font>
    </dxf>
    <dxf>
      <alignment horizontal="left"/>
    </dxf>
    <dxf>
      <font>
        <sz val="22"/>
      </font>
    </dxf>
    <dxf>
      <border>
        <left style="thin">
          <color indexed="64"/>
        </left>
        <right style="thin">
          <color indexed="64"/>
        </right>
        <top style="thin">
          <color indexed="64"/>
        </top>
        <bottom style="thin">
          <color indexed="64"/>
        </bottom>
      </border>
    </dxf>
    <dxf>
      <font>
        <color theme="9"/>
      </font>
    </dxf>
    <dxf>
      <alignment horizontal="left"/>
    </dxf>
    <dxf>
      <numFmt numFmtId="0" formatCode="Genera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165" formatCode="0.00_ ;\-0.00\ "/>
      <border diagonalUp="0" diagonalDown="0">
        <left style="thin">
          <color indexed="64"/>
        </left>
        <right style="thin">
          <color indexed="64"/>
        </right>
        <top style="thin">
          <color indexed="64"/>
        </top>
        <bottom style="thin">
          <color indexed="64"/>
        </bottom>
        <vertical/>
        <horizontal/>
      </border>
    </dxf>
    <dxf>
      <numFmt numFmtId="164" formatCode="#,##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left style="medium">
          <color indexed="64"/>
        </left>
        <right style="thin">
          <color indexed="64"/>
        </right>
      </border>
    </dxf>
    <dxf>
      <font>
        <b val="0"/>
        <i val="0"/>
        <strike val="0"/>
        <condense val="0"/>
        <extend val="0"/>
        <outline val="0"/>
        <shadow val="0"/>
        <u val="none"/>
        <vertAlign val="baseline"/>
        <sz val="11"/>
        <color rgb="FFC00000"/>
        <name val="Calibri"/>
        <family val="2"/>
        <scheme val="minor"/>
      </font>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[Nifty50.xlsx]KPI output!PivotTable1</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Bottom</a:t>
            </a:r>
            <a:r>
              <a:rPr lang="en-US" baseline="0"/>
              <a:t> 8 Target Difference stocks</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output'!$B$3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output'!$A$4:$A$12</c:f>
              <c:strCache>
                <c:ptCount val="8"/>
                <c:pt idx="0">
                  <c:v>BEL</c:v>
                </c:pt>
                <c:pt idx="1">
                  <c:v>ITC</c:v>
                </c:pt>
                <c:pt idx="2">
                  <c:v>JIOFIN</c:v>
                </c:pt>
                <c:pt idx="3">
                  <c:v>KOTAKBANK</c:v>
                </c:pt>
                <c:pt idx="4">
                  <c:v>ONGC</c:v>
                </c:pt>
                <c:pt idx="5">
                  <c:v>POWERGRID</c:v>
                </c:pt>
                <c:pt idx="6">
                  <c:v>TATASTEEL</c:v>
                </c:pt>
                <c:pt idx="7">
                  <c:v>WIPRO</c:v>
                </c:pt>
              </c:strCache>
            </c:strRef>
          </c:cat>
          <c:val>
            <c:numRef>
              <c:f>'KPI output'!$B$4:$B$12</c:f>
              <c:numCache>
                <c:formatCode>0.00</c:formatCode>
                <c:ptCount val="8"/>
                <c:pt idx="0">
                  <c:v>56.833000000000006</c:v>
                </c:pt>
                <c:pt idx="1">
                  <c:v>58.910000000000004</c:v>
                </c:pt>
                <c:pt idx="2">
                  <c:v>55.68</c:v>
                </c:pt>
                <c:pt idx="3">
                  <c:v>44.057999999999993</c:v>
                </c:pt>
                <c:pt idx="4">
                  <c:v>56.220000000000006</c:v>
                </c:pt>
                <c:pt idx="5">
                  <c:v>44.354999999999997</c:v>
                </c:pt>
                <c:pt idx="6">
                  <c:v>44.433700000000002</c:v>
                </c:pt>
                <c:pt idx="7">
                  <c:v>47.837499999999999</c:v>
                </c:pt>
              </c:numCache>
            </c:numRef>
          </c:val>
          <c:extLst>
            <c:ext xmlns:c16="http://schemas.microsoft.com/office/drawing/2014/chart" uri="{C3380CC4-5D6E-409C-BE32-E72D297353CC}">
              <c16:uniqueId val="{00000000-13B0-4EAE-8C53-204DC02D49D2}"/>
            </c:ext>
          </c:extLst>
        </c:ser>
        <c:dLbls>
          <c:dLblPos val="inEnd"/>
          <c:showLegendKey val="0"/>
          <c:showVal val="1"/>
          <c:showCatName val="0"/>
          <c:showSerName val="0"/>
          <c:showPercent val="0"/>
          <c:showBubbleSize val="0"/>
        </c:dLbls>
        <c:gapWidth val="41"/>
        <c:axId val="1884901039"/>
        <c:axId val="1884903439"/>
      </c:barChart>
      <c:catAx>
        <c:axId val="1884901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84903439"/>
        <c:crosses val="autoZero"/>
        <c:auto val="1"/>
        <c:lblAlgn val="ctr"/>
        <c:lblOffset val="100"/>
        <c:noMultiLvlLbl val="0"/>
      </c:catAx>
      <c:valAx>
        <c:axId val="1884903439"/>
        <c:scaling>
          <c:orientation val="minMax"/>
        </c:scaling>
        <c:delete val="1"/>
        <c:axPos val="l"/>
        <c:numFmt formatCode="0.00" sourceLinked="1"/>
        <c:majorTickMark val="none"/>
        <c:minorTickMark val="none"/>
        <c:tickLblPos val="nextTo"/>
        <c:crossAx val="188490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[Nifty50.xlsx]KPI output!PivotTable2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Booked stocks</a:t>
            </a:r>
          </a:p>
        </c:rich>
      </c:tx>
      <c:layout>
        <c:manualLayout>
          <c:xMode val="edge"/>
          <c:yMode val="edge"/>
          <c:x val="0.3258333333333333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0.17532188684747738"/>
          <c:w val="0.74623797025371841"/>
          <c:h val="0.42799759405074367"/>
        </c:manualLayout>
      </c:layout>
      <c:lineChart>
        <c:grouping val="stacked"/>
        <c:varyColors val="0"/>
        <c:ser>
          <c:idx val="0"/>
          <c:order val="0"/>
          <c:tx>
            <c:strRef>
              <c:f>'KPI output'!$E$2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 output'!$D$3:$D$53</c:f>
              <c:strCache>
                <c:ptCount val="50"/>
                <c:pt idx="0">
                  <c:v>WIPRO</c:v>
                </c:pt>
                <c:pt idx="1">
                  <c:v>ULTRACEMCO</c:v>
                </c:pt>
                <c:pt idx="2">
                  <c:v>TRENT</c:v>
                </c:pt>
                <c:pt idx="3">
                  <c:v>TMPV</c:v>
                </c:pt>
                <c:pt idx="4">
                  <c:v>TITAN</c:v>
                </c:pt>
                <c:pt idx="5">
                  <c:v>TECHM</c:v>
                </c:pt>
                <c:pt idx="6">
                  <c:v>TCS</c:v>
                </c:pt>
                <c:pt idx="7">
                  <c:v>TATASTEEL</c:v>
                </c:pt>
                <c:pt idx="8">
                  <c:v>TATACONSUM</c:v>
                </c:pt>
                <c:pt idx="9">
                  <c:v>SUNPHARMA</c:v>
                </c:pt>
                <c:pt idx="10">
                  <c:v>SHRIRAMFIN</c:v>
                </c:pt>
                <c:pt idx="11">
                  <c:v>SBIN</c:v>
                </c:pt>
                <c:pt idx="12">
                  <c:v>SBILIFE</c:v>
                </c:pt>
                <c:pt idx="13">
                  <c:v>RELIANCE</c:v>
                </c:pt>
                <c:pt idx="14">
                  <c:v>POWERGRID</c:v>
                </c:pt>
                <c:pt idx="15">
                  <c:v>ONGC</c:v>
                </c:pt>
                <c:pt idx="16">
                  <c:v>NTPC</c:v>
                </c:pt>
                <c:pt idx="17">
                  <c:v>NESTLEIND</c:v>
                </c:pt>
                <c:pt idx="18">
                  <c:v>MAXHEALTH</c:v>
                </c:pt>
                <c:pt idx="19">
                  <c:v>MARUTI</c:v>
                </c:pt>
                <c:pt idx="20">
                  <c:v>M&amp;M</c:v>
                </c:pt>
                <c:pt idx="21">
                  <c:v>LT</c:v>
                </c:pt>
                <c:pt idx="22">
                  <c:v>KOTAKBANK</c:v>
                </c:pt>
                <c:pt idx="23">
                  <c:v>JSWSTEEL</c:v>
                </c:pt>
                <c:pt idx="24">
                  <c:v>JIOFIN</c:v>
                </c:pt>
                <c:pt idx="25">
                  <c:v>ITC</c:v>
                </c:pt>
                <c:pt idx="26">
                  <c:v>INFY</c:v>
                </c:pt>
                <c:pt idx="27">
                  <c:v>INDIGO</c:v>
                </c:pt>
                <c:pt idx="28">
                  <c:v>ICICIBANK</c:v>
                </c:pt>
                <c:pt idx="29">
                  <c:v>HINDUNILVR</c:v>
                </c:pt>
                <c:pt idx="30">
                  <c:v>HINDALCO</c:v>
                </c:pt>
                <c:pt idx="31">
                  <c:v>HDFCLIFE</c:v>
                </c:pt>
                <c:pt idx="32">
                  <c:v>HDFCBANK</c:v>
                </c:pt>
                <c:pt idx="33">
                  <c:v>HCLTECH</c:v>
                </c:pt>
                <c:pt idx="34">
                  <c:v>GRASIM</c:v>
                </c:pt>
                <c:pt idx="35">
                  <c:v>ETERNAL</c:v>
                </c:pt>
                <c:pt idx="36">
                  <c:v>EICHERMOT</c:v>
                </c:pt>
                <c:pt idx="37">
                  <c:v>DRREDDY</c:v>
                </c:pt>
                <c:pt idx="38">
                  <c:v>COALINDIA</c:v>
                </c:pt>
                <c:pt idx="39">
                  <c:v>CIPLA</c:v>
                </c:pt>
                <c:pt idx="40">
                  <c:v>BHARTIARTL</c:v>
                </c:pt>
                <c:pt idx="41">
                  <c:v>BEL</c:v>
                </c:pt>
                <c:pt idx="42">
                  <c:v>BAJFINANCE</c:v>
                </c:pt>
                <c:pt idx="43">
                  <c:v>BAJAJFINSV</c:v>
                </c:pt>
                <c:pt idx="44">
                  <c:v>BAJAJ-AUTO</c:v>
                </c:pt>
                <c:pt idx="45">
                  <c:v>AXISBANK</c:v>
                </c:pt>
                <c:pt idx="46">
                  <c:v>ASIANPAINT</c:v>
                </c:pt>
                <c:pt idx="47">
                  <c:v>APOLLOHOSP</c:v>
                </c:pt>
                <c:pt idx="48">
                  <c:v>ADANIPORTS</c:v>
                </c:pt>
                <c:pt idx="49">
                  <c:v>ADANIENT</c:v>
                </c:pt>
              </c:strCache>
            </c:strRef>
          </c:cat>
          <c:val>
            <c:numRef>
              <c:f>'KPI output'!$E$3:$E$53</c:f>
              <c:numCache>
                <c:formatCode>#,##0</c:formatCode>
                <c:ptCount val="50"/>
                <c:pt idx="0">
                  <c:v>825</c:v>
                </c:pt>
                <c:pt idx="1">
                  <c:v>15</c:v>
                </c:pt>
                <c:pt idx="2">
                  <c:v>-190</c:v>
                </c:pt>
                <c:pt idx="3">
                  <c:v>-200</c:v>
                </c:pt>
                <c:pt idx="4">
                  <c:v>7</c:v>
                </c:pt>
                <c:pt idx="5">
                  <c:v>-20</c:v>
                </c:pt>
                <c:pt idx="6">
                  <c:v>50</c:v>
                </c:pt>
                <c:pt idx="7">
                  <c:v>250</c:v>
                </c:pt>
                <c:pt idx="8">
                  <c:v>-121</c:v>
                </c:pt>
                <c:pt idx="9">
                  <c:v>75</c:v>
                </c:pt>
                <c:pt idx="10">
                  <c:v>-350</c:v>
                </c:pt>
                <c:pt idx="11">
                  <c:v>-175</c:v>
                </c:pt>
                <c:pt idx="12">
                  <c:v>-60</c:v>
                </c:pt>
                <c:pt idx="13">
                  <c:v>-150</c:v>
                </c:pt>
                <c:pt idx="14">
                  <c:v>450</c:v>
                </c:pt>
                <c:pt idx="15">
                  <c:v>2500</c:v>
                </c:pt>
                <c:pt idx="16">
                  <c:v>90</c:v>
                </c:pt>
                <c:pt idx="17">
                  <c:v>18</c:v>
                </c:pt>
                <c:pt idx="18">
                  <c:v>25</c:v>
                </c:pt>
                <c:pt idx="19">
                  <c:v>-250</c:v>
                </c:pt>
                <c:pt idx="20">
                  <c:v>-40</c:v>
                </c:pt>
                <c:pt idx="21">
                  <c:v>-55</c:v>
                </c:pt>
                <c:pt idx="22">
                  <c:v>200</c:v>
                </c:pt>
                <c:pt idx="23">
                  <c:v>-40</c:v>
                </c:pt>
                <c:pt idx="24">
                  <c:v>-90</c:v>
                </c:pt>
                <c:pt idx="25">
                  <c:v>30</c:v>
                </c:pt>
                <c:pt idx="26">
                  <c:v>150</c:v>
                </c:pt>
                <c:pt idx="27">
                  <c:v>-100</c:v>
                </c:pt>
                <c:pt idx="28">
                  <c:v>-140</c:v>
                </c:pt>
                <c:pt idx="29">
                  <c:v>-80</c:v>
                </c:pt>
                <c:pt idx="30">
                  <c:v>80</c:v>
                </c:pt>
                <c:pt idx="31">
                  <c:v>20</c:v>
                </c:pt>
                <c:pt idx="32">
                  <c:v>-400</c:v>
                </c:pt>
                <c:pt idx="33">
                  <c:v>100</c:v>
                </c:pt>
                <c:pt idx="34">
                  <c:v>-150</c:v>
                </c:pt>
                <c:pt idx="35">
                  <c:v>-150</c:v>
                </c:pt>
                <c:pt idx="36">
                  <c:v>-100</c:v>
                </c:pt>
                <c:pt idx="37">
                  <c:v>-85</c:v>
                </c:pt>
                <c:pt idx="38">
                  <c:v>-100</c:v>
                </c:pt>
                <c:pt idx="39">
                  <c:v>-70</c:v>
                </c:pt>
                <c:pt idx="40">
                  <c:v>300</c:v>
                </c:pt>
                <c:pt idx="41">
                  <c:v>-160</c:v>
                </c:pt>
                <c:pt idx="42">
                  <c:v>-100</c:v>
                </c:pt>
                <c:pt idx="43">
                  <c:v>-94</c:v>
                </c:pt>
                <c:pt idx="44">
                  <c:v>5</c:v>
                </c:pt>
                <c:pt idx="45">
                  <c:v>25</c:v>
                </c:pt>
                <c:pt idx="46">
                  <c:v>-80</c:v>
                </c:pt>
                <c:pt idx="47">
                  <c:v>-62</c:v>
                </c:pt>
                <c:pt idx="48">
                  <c:v>-80</c:v>
                </c:pt>
                <c:pt idx="49">
                  <c:v>-100</c:v>
                </c:pt>
              </c:numCache>
            </c:numRef>
          </c:val>
          <c:smooth val="0"/>
          <c:extLst>
            <c:ext xmlns:c16="http://schemas.microsoft.com/office/drawing/2014/chart" uri="{C3380CC4-5D6E-409C-BE32-E72D297353CC}">
              <c16:uniqueId val="{00000000-DC61-432F-B1EF-E26A4AE50FA0}"/>
            </c:ext>
          </c:extLst>
        </c:ser>
        <c:dLbls>
          <c:showLegendKey val="0"/>
          <c:showVal val="0"/>
          <c:showCatName val="0"/>
          <c:showSerName val="0"/>
          <c:showPercent val="0"/>
          <c:showBubbleSize val="0"/>
        </c:dLbls>
        <c:marker val="1"/>
        <c:smooth val="0"/>
        <c:axId val="1884932239"/>
        <c:axId val="1884918799"/>
      </c:lineChart>
      <c:catAx>
        <c:axId val="188493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18799"/>
        <c:crosses val="autoZero"/>
        <c:auto val="1"/>
        <c:lblAlgn val="ctr"/>
        <c:lblOffset val="100"/>
        <c:noMultiLvlLbl val="0"/>
      </c:catAx>
      <c:valAx>
        <c:axId val="1884918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32239"/>
        <c:crosses val="autoZero"/>
        <c:crossBetween val="between"/>
      </c:valAx>
      <c:spPr>
        <a:noFill/>
        <a:ln>
          <a:noFill/>
        </a:ln>
        <a:effectLst/>
      </c:spPr>
    </c:plotArea>
    <c:legend>
      <c:legendPos val="r"/>
      <c:layout>
        <c:manualLayout>
          <c:xMode val="edge"/>
          <c:yMode val="edge"/>
          <c:x val="0.84438845144356967"/>
          <c:y val="0.40848352289297163"/>
          <c:w val="0.13894488188976378"/>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[Nifty50.xlsx]KPI output!PivotTable3</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Potential Profit in Percentage</a:t>
            </a:r>
          </a:p>
        </c:rich>
      </c:tx>
      <c:layout>
        <c:manualLayout>
          <c:xMode val="edge"/>
          <c:yMode val="edge"/>
          <c:x val="0.27027777777777778"/>
          <c:y val="7.305336832895889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5048118985126"/>
          <c:y val="0.20309966462525517"/>
          <c:w val="0.75425437445319343"/>
          <c:h val="0.44360928842228048"/>
        </c:manualLayout>
      </c:layout>
      <c:areaChart>
        <c:grouping val="standard"/>
        <c:varyColors val="0"/>
        <c:ser>
          <c:idx val="0"/>
          <c:order val="0"/>
          <c:tx>
            <c:strRef>
              <c:f>'KPI output'!$H$3</c:f>
              <c:strCache>
                <c:ptCount val="1"/>
                <c:pt idx="0">
                  <c:v>Total</c:v>
                </c:pt>
              </c:strCache>
            </c:strRef>
          </c:tx>
          <c:spPr>
            <a:pattFill prst="ltUpDiag">
              <a:fgClr>
                <a:schemeClr val="accent2"/>
              </a:fgClr>
              <a:bgClr>
                <a:schemeClr val="accent2">
                  <a:lumMod val="20000"/>
                  <a:lumOff val="80000"/>
                </a:schemeClr>
              </a:bgClr>
            </a:pattFill>
            <a:ln>
              <a:noFill/>
            </a:ln>
            <a:effectLst>
              <a:innerShdw blurRad="114300">
                <a:schemeClr val="accent2"/>
              </a:innerShdw>
            </a:effectLst>
          </c:spPr>
          <c:cat>
            <c:strRef>
              <c:f>'KPI output'!$G$4:$G$34</c:f>
              <c:strCache>
                <c:ptCount val="30"/>
                <c:pt idx="0">
                  <c:v>ADANIENT</c:v>
                </c:pt>
                <c:pt idx="1">
                  <c:v>ADANIPORTS</c:v>
                </c:pt>
                <c:pt idx="2">
                  <c:v>APOLLOHOSP</c:v>
                </c:pt>
                <c:pt idx="3">
                  <c:v>ASIANPAINT</c:v>
                </c:pt>
                <c:pt idx="4">
                  <c:v>BAJAJFINSV</c:v>
                </c:pt>
                <c:pt idx="5">
                  <c:v>BAJFINANCE</c:v>
                </c:pt>
                <c:pt idx="6">
                  <c:v>BEL</c:v>
                </c:pt>
                <c:pt idx="7">
                  <c:v>CIPLA</c:v>
                </c:pt>
                <c:pt idx="8">
                  <c:v>COALINDIA</c:v>
                </c:pt>
                <c:pt idx="9">
                  <c:v>DRREDDY</c:v>
                </c:pt>
                <c:pt idx="10">
                  <c:v>EICHERMOT</c:v>
                </c:pt>
                <c:pt idx="11">
                  <c:v>ETERNAL</c:v>
                </c:pt>
                <c:pt idx="12">
                  <c:v>GRASIM</c:v>
                </c:pt>
                <c:pt idx="13">
                  <c:v>HDFCBANK</c:v>
                </c:pt>
                <c:pt idx="14">
                  <c:v>HINDUNILVR</c:v>
                </c:pt>
                <c:pt idx="15">
                  <c:v>ICICIBANK</c:v>
                </c:pt>
                <c:pt idx="16">
                  <c:v>INDIGO</c:v>
                </c:pt>
                <c:pt idx="17">
                  <c:v>JIOFIN</c:v>
                </c:pt>
                <c:pt idx="18">
                  <c:v>JSWSTEEL</c:v>
                </c:pt>
                <c:pt idx="19">
                  <c:v>LT</c:v>
                </c:pt>
                <c:pt idx="20">
                  <c:v>M&amp;M</c:v>
                </c:pt>
                <c:pt idx="21">
                  <c:v>MARUTI</c:v>
                </c:pt>
                <c:pt idx="22">
                  <c:v>RELIANCE</c:v>
                </c:pt>
                <c:pt idx="23">
                  <c:v>SBILIFE</c:v>
                </c:pt>
                <c:pt idx="24">
                  <c:v>SBIN</c:v>
                </c:pt>
                <c:pt idx="25">
                  <c:v>SHRIRAMFIN</c:v>
                </c:pt>
                <c:pt idx="26">
                  <c:v>TATACONSUM</c:v>
                </c:pt>
                <c:pt idx="27">
                  <c:v>TECHM</c:v>
                </c:pt>
                <c:pt idx="28">
                  <c:v>TMPV</c:v>
                </c:pt>
                <c:pt idx="29">
                  <c:v>TRENT</c:v>
                </c:pt>
              </c:strCache>
            </c:strRef>
          </c:cat>
          <c:val>
            <c:numRef>
              <c:f>'KPI output'!$H$4:$H$34</c:f>
              <c:numCache>
                <c:formatCode>0.00%</c:formatCode>
                <c:ptCount val="30"/>
                <c:pt idx="0">
                  <c:v>2.385907168407074E-2</c:v>
                </c:pt>
                <c:pt idx="1">
                  <c:v>1.4021390416441392E-2</c:v>
                </c:pt>
                <c:pt idx="2">
                  <c:v>0.11846343026294859</c:v>
                </c:pt>
                <c:pt idx="3">
                  <c:v>2.1673298176171495E-2</c:v>
                </c:pt>
                <c:pt idx="4">
                  <c:v>3.5468393669293559E-2</c:v>
                </c:pt>
                <c:pt idx="5">
                  <c:v>1.494821855469514E-2</c:v>
                </c:pt>
                <c:pt idx="6">
                  <c:v>3.7170576234122599E-3</c:v>
                </c:pt>
                <c:pt idx="7">
                  <c:v>2.5993830729487587E-2</c:v>
                </c:pt>
                <c:pt idx="8">
                  <c:v>5.8221890386951089E-3</c:v>
                </c:pt>
                <c:pt idx="9">
                  <c:v>2.5136395340841288E-2</c:v>
                </c:pt>
                <c:pt idx="10">
                  <c:v>8.8935212927629889E-2</c:v>
                </c:pt>
                <c:pt idx="11">
                  <c:v>4.2615912282018319E-3</c:v>
                </c:pt>
                <c:pt idx="12">
                  <c:v>3.456033623710706E-2</c:v>
                </c:pt>
                <c:pt idx="13">
                  <c:v>9.9144645739810376E-3</c:v>
                </c:pt>
                <c:pt idx="14">
                  <c:v>3.3927887708639505E-2</c:v>
                </c:pt>
                <c:pt idx="15">
                  <c:v>1.2144385212874649E-2</c:v>
                </c:pt>
                <c:pt idx="16">
                  <c:v>4.0243543567116208E-2</c:v>
                </c:pt>
                <c:pt idx="17">
                  <c:v>3.6416477833581644E-3</c:v>
                </c:pt>
                <c:pt idx="18">
                  <c:v>1.330417939646463E-2</c:v>
                </c:pt>
                <c:pt idx="19">
                  <c:v>9.3395708236987396E-2</c:v>
                </c:pt>
                <c:pt idx="20">
                  <c:v>4.3799186198981585E-2</c:v>
                </c:pt>
                <c:pt idx="21">
                  <c:v>0.13799215892014893</c:v>
                </c:pt>
                <c:pt idx="22">
                  <c:v>2.644903670240736E-2</c:v>
                </c:pt>
                <c:pt idx="23">
                  <c:v>3.3497927354332824E-2</c:v>
                </c:pt>
                <c:pt idx="24">
                  <c:v>1.9997669293096123E-2</c:v>
                </c:pt>
                <c:pt idx="25">
                  <c:v>7.6776766035994036E-3</c:v>
                </c:pt>
                <c:pt idx="26">
                  <c:v>1.7065318747714237E-2</c:v>
                </c:pt>
                <c:pt idx="27">
                  <c:v>1.813891157034039E-2</c:v>
                </c:pt>
                <c:pt idx="28">
                  <c:v>5.1405573361419724E-3</c:v>
                </c:pt>
                <c:pt idx="29">
                  <c:v>6.6809324904819764E-2</c:v>
                </c:pt>
              </c:numCache>
            </c:numRef>
          </c:val>
          <c:extLst>
            <c:ext xmlns:c16="http://schemas.microsoft.com/office/drawing/2014/chart" uri="{C3380CC4-5D6E-409C-BE32-E72D297353CC}">
              <c16:uniqueId val="{00000000-F1AF-41EB-8B33-89DDC638A424}"/>
            </c:ext>
          </c:extLst>
        </c:ser>
        <c:dLbls>
          <c:showLegendKey val="0"/>
          <c:showVal val="0"/>
          <c:showCatName val="0"/>
          <c:showSerName val="0"/>
          <c:showPercent val="0"/>
          <c:showBubbleSize val="0"/>
        </c:dLbls>
        <c:axId val="1884929359"/>
        <c:axId val="1884944719"/>
      </c:areaChart>
      <c:catAx>
        <c:axId val="1884929359"/>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84944719"/>
        <c:crosses val="autoZero"/>
        <c:auto val="1"/>
        <c:lblAlgn val="ctr"/>
        <c:lblOffset val="100"/>
        <c:noMultiLvlLbl val="0"/>
      </c:catAx>
      <c:valAx>
        <c:axId val="1884944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29359"/>
        <c:crosses val="autoZero"/>
        <c:crossBetween val="midCat"/>
      </c:valAx>
      <c:spPr>
        <a:noFill/>
        <a:ln>
          <a:noFill/>
        </a:ln>
        <a:effectLst/>
      </c:spPr>
    </c:plotArea>
    <c:legend>
      <c:legendPos val="r"/>
      <c:layout>
        <c:manualLayout>
          <c:xMode val="edge"/>
          <c:yMode val="edge"/>
          <c:x val="0.9002591863517061"/>
          <c:y val="0.51959463400408279"/>
          <c:w val="8.3074146981627295E-2"/>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[Nifty50.xlsx]KPI output!PivotTable4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solidFill>
                  <a:srgbClr val="FFFF00"/>
                </a:solidFill>
              </a:rPr>
              <a:t>Profitable</a:t>
            </a:r>
            <a:r>
              <a:rPr lang="en-US" b="1" baseline="0">
                <a:solidFill>
                  <a:srgbClr val="FFFF00"/>
                </a:solidFill>
              </a:rPr>
              <a:t> Trades</a:t>
            </a:r>
            <a:endParaRPr lang="en-US" b="1">
              <a:solidFill>
                <a:srgbClr val="FFFF00"/>
              </a:solidFill>
            </a:endParaRPr>
          </a:p>
        </c:rich>
      </c:tx>
      <c:layout>
        <c:manualLayout>
          <c:xMode val="edge"/>
          <c:yMode val="edge"/>
          <c:x val="0.38081233595800529"/>
          <c:y val="8.592155147273257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66491688538935"/>
          <c:y val="0.1793819612090036"/>
          <c:w val="0.50476068540212959"/>
          <c:h val="0.71321887056381561"/>
        </c:manualLayout>
      </c:layout>
      <c:barChart>
        <c:barDir val="bar"/>
        <c:grouping val="clustered"/>
        <c:varyColors val="0"/>
        <c:ser>
          <c:idx val="0"/>
          <c:order val="0"/>
          <c:tx>
            <c:strRef>
              <c:f>'KPI output'!$K$3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'KPI output'!$J$4:$J$34</c:f>
              <c:strCache>
                <c:ptCount val="30"/>
                <c:pt idx="0">
                  <c:v>ADANIENT</c:v>
                </c:pt>
                <c:pt idx="1">
                  <c:v>ADANIPORTS</c:v>
                </c:pt>
                <c:pt idx="2">
                  <c:v>APOLLOHOSP</c:v>
                </c:pt>
                <c:pt idx="3">
                  <c:v>ASIANPAINT</c:v>
                </c:pt>
                <c:pt idx="4">
                  <c:v>BAJAJFINSV</c:v>
                </c:pt>
                <c:pt idx="5">
                  <c:v>BAJFINANCE</c:v>
                </c:pt>
                <c:pt idx="6">
                  <c:v>BEL</c:v>
                </c:pt>
                <c:pt idx="7">
                  <c:v>CIPLA</c:v>
                </c:pt>
                <c:pt idx="8">
                  <c:v>COALINDIA</c:v>
                </c:pt>
                <c:pt idx="9">
                  <c:v>DRREDDY</c:v>
                </c:pt>
                <c:pt idx="10">
                  <c:v>EICHERMOT</c:v>
                </c:pt>
                <c:pt idx="11">
                  <c:v>ETERNAL</c:v>
                </c:pt>
                <c:pt idx="12">
                  <c:v>GRASIM</c:v>
                </c:pt>
                <c:pt idx="13">
                  <c:v>HDFCBANK</c:v>
                </c:pt>
                <c:pt idx="14">
                  <c:v>HINDUNILVR</c:v>
                </c:pt>
                <c:pt idx="15">
                  <c:v>ICICIBANK</c:v>
                </c:pt>
                <c:pt idx="16">
                  <c:v>INDIGO</c:v>
                </c:pt>
                <c:pt idx="17">
                  <c:v>JIOFIN</c:v>
                </c:pt>
                <c:pt idx="18">
                  <c:v>JSWSTEEL</c:v>
                </c:pt>
                <c:pt idx="19">
                  <c:v>LT</c:v>
                </c:pt>
                <c:pt idx="20">
                  <c:v>M&amp;M</c:v>
                </c:pt>
                <c:pt idx="21">
                  <c:v>MARUTI</c:v>
                </c:pt>
                <c:pt idx="22">
                  <c:v>RELIANCE</c:v>
                </c:pt>
                <c:pt idx="23">
                  <c:v>SBILIFE</c:v>
                </c:pt>
                <c:pt idx="24">
                  <c:v>SBIN</c:v>
                </c:pt>
                <c:pt idx="25">
                  <c:v>SHRIRAMFIN</c:v>
                </c:pt>
                <c:pt idx="26">
                  <c:v>TATACONSUM</c:v>
                </c:pt>
                <c:pt idx="27">
                  <c:v>TECHM</c:v>
                </c:pt>
                <c:pt idx="28">
                  <c:v>TMPV</c:v>
                </c:pt>
                <c:pt idx="29">
                  <c:v>TRENT</c:v>
                </c:pt>
              </c:strCache>
            </c:strRef>
          </c:cat>
          <c:val>
            <c:numRef>
              <c:f>'KPI output'!$K$4:$K$34</c:f>
              <c:numCache>
                <c:formatCode>#,##0</c:formatCode>
                <c:ptCount val="30"/>
                <c:pt idx="0">
                  <c:v>-100</c:v>
                </c:pt>
                <c:pt idx="1">
                  <c:v>-80</c:v>
                </c:pt>
                <c:pt idx="2">
                  <c:v>-62</c:v>
                </c:pt>
                <c:pt idx="3">
                  <c:v>-80</c:v>
                </c:pt>
                <c:pt idx="4">
                  <c:v>-94</c:v>
                </c:pt>
                <c:pt idx="5">
                  <c:v>-100</c:v>
                </c:pt>
                <c:pt idx="6">
                  <c:v>-160</c:v>
                </c:pt>
                <c:pt idx="7">
                  <c:v>-70</c:v>
                </c:pt>
                <c:pt idx="8">
                  <c:v>-100</c:v>
                </c:pt>
                <c:pt idx="9">
                  <c:v>-85</c:v>
                </c:pt>
                <c:pt idx="10">
                  <c:v>-100</c:v>
                </c:pt>
                <c:pt idx="11">
                  <c:v>-150</c:v>
                </c:pt>
                <c:pt idx="12">
                  <c:v>-150</c:v>
                </c:pt>
                <c:pt idx="13">
                  <c:v>-400</c:v>
                </c:pt>
                <c:pt idx="14">
                  <c:v>-80</c:v>
                </c:pt>
                <c:pt idx="15">
                  <c:v>-140</c:v>
                </c:pt>
                <c:pt idx="16">
                  <c:v>-100</c:v>
                </c:pt>
                <c:pt idx="17">
                  <c:v>-90</c:v>
                </c:pt>
                <c:pt idx="18">
                  <c:v>-40</c:v>
                </c:pt>
                <c:pt idx="19">
                  <c:v>-55</c:v>
                </c:pt>
                <c:pt idx="20">
                  <c:v>-40</c:v>
                </c:pt>
                <c:pt idx="21">
                  <c:v>-250</c:v>
                </c:pt>
                <c:pt idx="22">
                  <c:v>-150</c:v>
                </c:pt>
                <c:pt idx="23">
                  <c:v>-60</c:v>
                </c:pt>
                <c:pt idx="24">
                  <c:v>-175</c:v>
                </c:pt>
                <c:pt idx="25">
                  <c:v>-350</c:v>
                </c:pt>
                <c:pt idx="26">
                  <c:v>-121</c:v>
                </c:pt>
                <c:pt idx="27">
                  <c:v>-20</c:v>
                </c:pt>
                <c:pt idx="28">
                  <c:v>-200</c:v>
                </c:pt>
                <c:pt idx="29">
                  <c:v>-190</c:v>
                </c:pt>
              </c:numCache>
            </c:numRef>
          </c:val>
          <c:extLst>
            <c:ext xmlns:c16="http://schemas.microsoft.com/office/drawing/2014/chart" uri="{C3380CC4-5D6E-409C-BE32-E72D297353CC}">
              <c16:uniqueId val="{00000000-A8EF-41DA-9C25-56C8129F1B89}"/>
            </c:ext>
          </c:extLst>
        </c:ser>
        <c:dLbls>
          <c:showLegendKey val="0"/>
          <c:showVal val="0"/>
          <c:showCatName val="0"/>
          <c:showSerName val="0"/>
          <c:showPercent val="0"/>
          <c:showBubbleSize val="0"/>
        </c:dLbls>
        <c:gapWidth val="182"/>
        <c:overlap val="-50"/>
        <c:axId val="1699400783"/>
        <c:axId val="1699395503"/>
      </c:barChart>
      <c:catAx>
        <c:axId val="169940078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9395503"/>
        <c:crosses val="autoZero"/>
        <c:auto val="1"/>
        <c:lblAlgn val="ctr"/>
        <c:lblOffset val="100"/>
        <c:noMultiLvlLbl val="0"/>
      </c:catAx>
      <c:valAx>
        <c:axId val="169939550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940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[Nifty50.xlsx]KPI output!PivotTable5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31824146981679E-2"/>
              <c:y val="-2.06372120151647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597279213337668E-2"/>
              <c:y val="-9.14989792942546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947110484428882E-2"/>
              <c:y val="-2.396689997083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478989422096885E-2"/>
              <c:y val="7.168234179060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927465052783893E-2"/>
              <c:y val="8.2174103237095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716426071741032E-2"/>
              <c:y val="-3.5294546515018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974144077060792E-2"/>
              <c:y val="8.56335666375036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663593107199628"/>
          <c:y val="0.15638670166229221"/>
          <c:w val="0.47283464566929134"/>
          <c:h val="0.78805774278215224"/>
        </c:manualLayout>
      </c:layout>
      <c:pieChart>
        <c:varyColors val="1"/>
        <c:ser>
          <c:idx val="0"/>
          <c:order val="0"/>
          <c:tx>
            <c:strRef>
              <c:f>'KPI output'!$N$3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918-4CC2-BD7D-81089309B08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918-4CC2-BD7D-81089309B08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918-4CC2-BD7D-81089309B08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918-4CC2-BD7D-81089309B08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918-4CC2-BD7D-81089309B08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918-4CC2-BD7D-81089309B08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918-4CC2-BD7D-81089309B08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918-4CC2-BD7D-81089309B08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918-4CC2-BD7D-81089309B08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918-4CC2-BD7D-81089309B08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169-4278-8451-A6FB446F0FC8}"/>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169-4278-8451-A6FB446F0FC8}"/>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169-4278-8451-A6FB446F0FC8}"/>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169-4278-8451-A6FB446F0FC8}"/>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169-4278-8451-A6FB446F0FC8}"/>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169-4278-8451-A6FB446F0FC8}"/>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169-4278-8451-A6FB446F0FC8}"/>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169-4278-8451-A6FB446F0FC8}"/>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169-4278-8451-A6FB446F0FC8}"/>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169-4278-8451-A6FB446F0FC8}"/>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169-4278-8451-A6FB446F0FC8}"/>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8169-4278-8451-A6FB446F0FC8}"/>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8169-4278-8451-A6FB446F0FC8}"/>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8169-4278-8451-A6FB446F0FC8}"/>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8169-4278-8451-A6FB446F0FC8}"/>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8169-4278-8451-A6FB446F0FC8}"/>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8169-4278-8451-A6FB446F0FC8}"/>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8169-4278-8451-A6FB446F0FC8}"/>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8169-4278-8451-A6FB446F0FC8}"/>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8169-4278-8451-A6FB446F0FC8}"/>
              </c:ext>
            </c:extLst>
          </c:dPt>
          <c:dLbls>
            <c:dLbl>
              <c:idx val="11"/>
              <c:layout>
                <c:manualLayout>
                  <c:x val="3.3597279213337668E-2"/>
                  <c:y val="-9.149897929425467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169-4278-8451-A6FB446F0FC8}"/>
                </c:ext>
              </c:extLst>
            </c:dLbl>
            <c:dLbl>
              <c:idx val="13"/>
              <c:layout>
                <c:manualLayout>
                  <c:x val="3.4947110484428882E-2"/>
                  <c:y val="-2.3966899970836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8169-4278-8451-A6FB446F0FC8}"/>
                </c:ext>
              </c:extLst>
            </c:dLbl>
            <c:dLbl>
              <c:idx val="22"/>
              <c:layout>
                <c:manualLayout>
                  <c:x val="-3.4927465052783893E-2"/>
                  <c:y val="8.217410323709536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8169-4278-8451-A6FB446F0F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output'!$M$4:$M$34</c:f>
              <c:strCache>
                <c:ptCount val="30"/>
                <c:pt idx="0">
                  <c:v>ADANIENT</c:v>
                </c:pt>
                <c:pt idx="1">
                  <c:v>ADANIPORTS</c:v>
                </c:pt>
                <c:pt idx="2">
                  <c:v>APOLLOHOSP</c:v>
                </c:pt>
                <c:pt idx="3">
                  <c:v>ASIANPAINT</c:v>
                </c:pt>
                <c:pt idx="4">
                  <c:v>BAJAJFINSV</c:v>
                </c:pt>
                <c:pt idx="5">
                  <c:v>BAJFINANCE</c:v>
                </c:pt>
                <c:pt idx="6">
                  <c:v>BEL</c:v>
                </c:pt>
                <c:pt idx="7">
                  <c:v>CIPLA</c:v>
                </c:pt>
                <c:pt idx="8">
                  <c:v>COALINDIA</c:v>
                </c:pt>
                <c:pt idx="9">
                  <c:v>DRREDDY</c:v>
                </c:pt>
                <c:pt idx="10">
                  <c:v>EICHERMOT</c:v>
                </c:pt>
                <c:pt idx="11">
                  <c:v>ETERNAL</c:v>
                </c:pt>
                <c:pt idx="12">
                  <c:v>GRASIM</c:v>
                </c:pt>
                <c:pt idx="13">
                  <c:v>HDFCBANK</c:v>
                </c:pt>
                <c:pt idx="14">
                  <c:v>HINDUNILVR</c:v>
                </c:pt>
                <c:pt idx="15">
                  <c:v>ICICIBANK</c:v>
                </c:pt>
                <c:pt idx="16">
                  <c:v>INDIGO</c:v>
                </c:pt>
                <c:pt idx="17">
                  <c:v>JIOFIN</c:v>
                </c:pt>
                <c:pt idx="18">
                  <c:v>JSWSTEEL</c:v>
                </c:pt>
                <c:pt idx="19">
                  <c:v>LT</c:v>
                </c:pt>
                <c:pt idx="20">
                  <c:v>M&amp;M</c:v>
                </c:pt>
                <c:pt idx="21">
                  <c:v>MARUTI</c:v>
                </c:pt>
                <c:pt idx="22">
                  <c:v>RELIANCE</c:v>
                </c:pt>
                <c:pt idx="23">
                  <c:v>SBILIFE</c:v>
                </c:pt>
                <c:pt idx="24">
                  <c:v>SBIN</c:v>
                </c:pt>
                <c:pt idx="25">
                  <c:v>SHRIRAMFIN</c:v>
                </c:pt>
                <c:pt idx="26">
                  <c:v>TATACONSUM</c:v>
                </c:pt>
                <c:pt idx="27">
                  <c:v>TECHM</c:v>
                </c:pt>
                <c:pt idx="28">
                  <c:v>TMPV</c:v>
                </c:pt>
                <c:pt idx="29">
                  <c:v>TRENT</c:v>
                </c:pt>
              </c:strCache>
            </c:strRef>
          </c:cat>
          <c:val>
            <c:numRef>
              <c:f>'KPI output'!$N$4:$N$34</c:f>
              <c:numCache>
                <c:formatCode>#,##0</c:formatCode>
                <c:ptCount val="30"/>
                <c:pt idx="0">
                  <c:v>2585257</c:v>
                </c:pt>
                <c:pt idx="1">
                  <c:v>2667313</c:v>
                </c:pt>
                <c:pt idx="2">
                  <c:v>533512</c:v>
                </c:pt>
                <c:pt idx="3">
                  <c:v>1089010</c:v>
                </c:pt>
                <c:pt idx="4">
                  <c:v>2522237</c:v>
                </c:pt>
                <c:pt idx="5">
                  <c:v>11282824</c:v>
                </c:pt>
                <c:pt idx="6">
                  <c:v>21818224</c:v>
                </c:pt>
                <c:pt idx="7">
                  <c:v>2220695</c:v>
                </c:pt>
                <c:pt idx="8">
                  <c:v>17184280</c:v>
                </c:pt>
                <c:pt idx="9">
                  <c:v>2165113</c:v>
                </c:pt>
                <c:pt idx="10">
                  <c:v>533428</c:v>
                </c:pt>
                <c:pt idx="11">
                  <c:v>38767229</c:v>
                </c:pt>
                <c:pt idx="12">
                  <c:v>2406056</c:v>
                </c:pt>
                <c:pt idx="13">
                  <c:v>65485199</c:v>
                </c:pt>
                <c:pt idx="14">
                  <c:v>2789151</c:v>
                </c:pt>
                <c:pt idx="15">
                  <c:v>23630905</c:v>
                </c:pt>
                <c:pt idx="16">
                  <c:v>1693708</c:v>
                </c:pt>
                <c:pt idx="17">
                  <c:v>19784233</c:v>
                </c:pt>
                <c:pt idx="18">
                  <c:v>2750813</c:v>
                </c:pt>
                <c:pt idx="19">
                  <c:v>3991388</c:v>
                </c:pt>
                <c:pt idx="20">
                  <c:v>3155168</c:v>
                </c:pt>
                <c:pt idx="21">
                  <c:v>775339</c:v>
                </c:pt>
                <c:pt idx="22">
                  <c:v>23266517</c:v>
                </c:pt>
                <c:pt idx="23">
                  <c:v>1156884</c:v>
                </c:pt>
                <c:pt idx="24">
                  <c:v>20445349</c:v>
                </c:pt>
                <c:pt idx="25">
                  <c:v>12238678</c:v>
                </c:pt>
                <c:pt idx="26">
                  <c:v>1815831</c:v>
                </c:pt>
                <c:pt idx="27">
                  <c:v>2584016</c:v>
                </c:pt>
                <c:pt idx="28">
                  <c:v>19009638</c:v>
                </c:pt>
                <c:pt idx="29">
                  <c:v>1288297</c:v>
                </c:pt>
              </c:numCache>
            </c:numRef>
          </c:val>
          <c:extLst>
            <c:ext xmlns:c16="http://schemas.microsoft.com/office/drawing/2014/chart" uri="{C3380CC4-5D6E-409C-BE32-E72D297353CC}">
              <c16:uniqueId val="{00000014-6918-4CC2-BD7D-81089309B08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818963254593178"/>
          <c:y val="0.10242818606007582"/>
          <c:w val="0.17681036745406825"/>
          <c:h val="0.88671515018955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[Nifty50.xlsx]KPI output!PivotTable6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2860892388451445"/>
          <c:w val="0.70813582677165354"/>
          <c:h val="0.49688757655293087"/>
        </c:manualLayout>
      </c:layout>
      <c:barChart>
        <c:barDir val="col"/>
        <c:grouping val="clustered"/>
        <c:varyColors val="0"/>
        <c:ser>
          <c:idx val="0"/>
          <c:order val="0"/>
          <c:tx>
            <c:strRef>
              <c:f>'KPI output'!$Q$3</c:f>
              <c:strCache>
                <c:ptCount val="1"/>
                <c:pt idx="0">
                  <c:v>52W LOW</c:v>
                </c:pt>
              </c:strCache>
            </c:strRef>
          </c:tx>
          <c:spPr>
            <a:solidFill>
              <a:schemeClr val="accent1">
                <a:alpha val="70000"/>
              </a:schemeClr>
            </a:solidFill>
            <a:ln>
              <a:noFill/>
            </a:ln>
            <a:effectLst/>
          </c:spPr>
          <c:invertIfNegative val="0"/>
          <c:cat>
            <c:strRef>
              <c:f>'KPI output'!$P$4:$P$34</c:f>
              <c:strCache>
                <c:ptCount val="30"/>
                <c:pt idx="0">
                  <c:v>ADANIENT</c:v>
                </c:pt>
                <c:pt idx="1">
                  <c:v>ADANIPORTS</c:v>
                </c:pt>
                <c:pt idx="2">
                  <c:v>APOLLOHOSP</c:v>
                </c:pt>
                <c:pt idx="3">
                  <c:v>ASIANPAINT</c:v>
                </c:pt>
                <c:pt idx="4">
                  <c:v>BAJAJFINSV</c:v>
                </c:pt>
                <c:pt idx="5">
                  <c:v>BAJFINANCE</c:v>
                </c:pt>
                <c:pt idx="6">
                  <c:v>BEL</c:v>
                </c:pt>
                <c:pt idx="7">
                  <c:v>CIPLA</c:v>
                </c:pt>
                <c:pt idx="8">
                  <c:v>COALINDIA</c:v>
                </c:pt>
                <c:pt idx="9">
                  <c:v>DRREDDY</c:v>
                </c:pt>
                <c:pt idx="10">
                  <c:v>EICHERMOT</c:v>
                </c:pt>
                <c:pt idx="11">
                  <c:v>ETERNAL</c:v>
                </c:pt>
                <c:pt idx="12">
                  <c:v>GRASIM</c:v>
                </c:pt>
                <c:pt idx="13">
                  <c:v>HDFCBANK</c:v>
                </c:pt>
                <c:pt idx="14">
                  <c:v>HINDUNILVR</c:v>
                </c:pt>
                <c:pt idx="15">
                  <c:v>ICICIBANK</c:v>
                </c:pt>
                <c:pt idx="16">
                  <c:v>INDIGO</c:v>
                </c:pt>
                <c:pt idx="17">
                  <c:v>JIOFIN</c:v>
                </c:pt>
                <c:pt idx="18">
                  <c:v>JSWSTEEL</c:v>
                </c:pt>
                <c:pt idx="19">
                  <c:v>LT</c:v>
                </c:pt>
                <c:pt idx="20">
                  <c:v>M&amp;M</c:v>
                </c:pt>
                <c:pt idx="21">
                  <c:v>MARUTI</c:v>
                </c:pt>
                <c:pt idx="22">
                  <c:v>RELIANCE</c:v>
                </c:pt>
                <c:pt idx="23">
                  <c:v>SBILIFE</c:v>
                </c:pt>
                <c:pt idx="24">
                  <c:v>SBIN</c:v>
                </c:pt>
                <c:pt idx="25">
                  <c:v>SHRIRAMFIN</c:v>
                </c:pt>
                <c:pt idx="26">
                  <c:v>TATACONSUM</c:v>
                </c:pt>
                <c:pt idx="27">
                  <c:v>TECHM</c:v>
                </c:pt>
                <c:pt idx="28">
                  <c:v>TMPV</c:v>
                </c:pt>
                <c:pt idx="29">
                  <c:v>TRENT</c:v>
                </c:pt>
              </c:strCache>
            </c:strRef>
          </c:cat>
          <c:val>
            <c:numRef>
              <c:f>'KPI output'!$Q$4:$Q$34</c:f>
              <c:numCache>
                <c:formatCode>General</c:formatCode>
                <c:ptCount val="30"/>
                <c:pt idx="0">
                  <c:v>1813.7</c:v>
                </c:pt>
                <c:pt idx="1">
                  <c:v>1041.5</c:v>
                </c:pt>
                <c:pt idx="2">
                  <c:v>6430.25</c:v>
                </c:pt>
                <c:pt idx="3">
                  <c:v>2115</c:v>
                </c:pt>
                <c:pt idx="4">
                  <c:v>1662.7</c:v>
                </c:pt>
                <c:pt idx="5">
                  <c:v>787.9</c:v>
                </c:pt>
                <c:pt idx="6">
                  <c:v>256.2</c:v>
                </c:pt>
                <c:pt idx="7">
                  <c:v>1216.5999999999999</c:v>
                </c:pt>
                <c:pt idx="8">
                  <c:v>356</c:v>
                </c:pt>
                <c:pt idx="9">
                  <c:v>1020</c:v>
                </c:pt>
                <c:pt idx="10">
                  <c:v>4999.95</c:v>
                </c:pt>
                <c:pt idx="11">
                  <c:v>194.8</c:v>
                </c:pt>
                <c:pt idx="12">
                  <c:v>2465.5</c:v>
                </c:pt>
                <c:pt idx="13">
                  <c:v>741.05</c:v>
                </c:pt>
                <c:pt idx="14">
                  <c:v>2033.3</c:v>
                </c:pt>
                <c:pt idx="15">
                  <c:v>1218.0999999999999</c:v>
                </c:pt>
                <c:pt idx="16">
                  <c:v>3895.2</c:v>
                </c:pt>
                <c:pt idx="17">
                  <c:v>203.1</c:v>
                </c:pt>
                <c:pt idx="18">
                  <c:v>905.2</c:v>
                </c:pt>
                <c:pt idx="19">
                  <c:v>2965.3</c:v>
                </c:pt>
                <c:pt idx="20">
                  <c:v>2425</c:v>
                </c:pt>
                <c:pt idx="21">
                  <c:v>11059.45</c:v>
                </c:pt>
                <c:pt idx="22">
                  <c:v>1114.8499999999999</c:v>
                </c:pt>
                <c:pt idx="23">
                  <c:v>1430.55</c:v>
                </c:pt>
                <c:pt idx="24">
                  <c:v>730</c:v>
                </c:pt>
                <c:pt idx="25">
                  <c:v>566.5</c:v>
                </c:pt>
                <c:pt idx="26">
                  <c:v>952.5</c:v>
                </c:pt>
                <c:pt idx="27">
                  <c:v>1264.3499999999999</c:v>
                </c:pt>
                <c:pt idx="28">
                  <c:v>301.05</c:v>
                </c:pt>
                <c:pt idx="29">
                  <c:v>3340.3</c:v>
                </c:pt>
              </c:numCache>
            </c:numRef>
          </c:val>
          <c:extLst>
            <c:ext xmlns:c16="http://schemas.microsoft.com/office/drawing/2014/chart" uri="{C3380CC4-5D6E-409C-BE32-E72D297353CC}">
              <c16:uniqueId val="{00000000-7F5B-4472-8E15-B3917B139BB9}"/>
            </c:ext>
          </c:extLst>
        </c:ser>
        <c:ser>
          <c:idx val="1"/>
          <c:order val="1"/>
          <c:tx>
            <c:strRef>
              <c:f>'KPI output'!$R$3</c:f>
              <c:strCache>
                <c:ptCount val="1"/>
                <c:pt idx="0">
                  <c:v>LTP</c:v>
                </c:pt>
              </c:strCache>
            </c:strRef>
          </c:tx>
          <c:spPr>
            <a:solidFill>
              <a:schemeClr val="accent2">
                <a:alpha val="70000"/>
              </a:schemeClr>
            </a:solidFill>
            <a:ln>
              <a:noFill/>
            </a:ln>
            <a:effectLst/>
          </c:spPr>
          <c:invertIfNegative val="0"/>
          <c:cat>
            <c:strRef>
              <c:f>'KPI output'!$P$4:$P$34</c:f>
              <c:strCache>
                <c:ptCount val="30"/>
                <c:pt idx="0">
                  <c:v>ADANIENT</c:v>
                </c:pt>
                <c:pt idx="1">
                  <c:v>ADANIPORTS</c:v>
                </c:pt>
                <c:pt idx="2">
                  <c:v>APOLLOHOSP</c:v>
                </c:pt>
                <c:pt idx="3">
                  <c:v>ASIANPAINT</c:v>
                </c:pt>
                <c:pt idx="4">
                  <c:v>BAJAJFINSV</c:v>
                </c:pt>
                <c:pt idx="5">
                  <c:v>BAJFINANCE</c:v>
                </c:pt>
                <c:pt idx="6">
                  <c:v>BEL</c:v>
                </c:pt>
                <c:pt idx="7">
                  <c:v>CIPLA</c:v>
                </c:pt>
                <c:pt idx="8">
                  <c:v>COALINDIA</c:v>
                </c:pt>
                <c:pt idx="9">
                  <c:v>DRREDDY</c:v>
                </c:pt>
                <c:pt idx="10">
                  <c:v>EICHERMOT</c:v>
                </c:pt>
                <c:pt idx="11">
                  <c:v>ETERNAL</c:v>
                </c:pt>
                <c:pt idx="12">
                  <c:v>GRASIM</c:v>
                </c:pt>
                <c:pt idx="13">
                  <c:v>HDFCBANK</c:v>
                </c:pt>
                <c:pt idx="14">
                  <c:v>HINDUNILVR</c:v>
                </c:pt>
                <c:pt idx="15">
                  <c:v>ICICIBANK</c:v>
                </c:pt>
                <c:pt idx="16">
                  <c:v>INDIGO</c:v>
                </c:pt>
                <c:pt idx="17">
                  <c:v>JIOFIN</c:v>
                </c:pt>
                <c:pt idx="18">
                  <c:v>JSWSTEEL</c:v>
                </c:pt>
                <c:pt idx="19">
                  <c:v>LT</c:v>
                </c:pt>
                <c:pt idx="20">
                  <c:v>M&amp;M</c:v>
                </c:pt>
                <c:pt idx="21">
                  <c:v>MARUTI</c:v>
                </c:pt>
                <c:pt idx="22">
                  <c:v>RELIANCE</c:v>
                </c:pt>
                <c:pt idx="23">
                  <c:v>SBILIFE</c:v>
                </c:pt>
                <c:pt idx="24">
                  <c:v>SBIN</c:v>
                </c:pt>
                <c:pt idx="25">
                  <c:v>SHRIRAMFIN</c:v>
                </c:pt>
                <c:pt idx="26">
                  <c:v>TATACONSUM</c:v>
                </c:pt>
                <c:pt idx="27">
                  <c:v>TECHM</c:v>
                </c:pt>
                <c:pt idx="28">
                  <c:v>TMPV</c:v>
                </c:pt>
                <c:pt idx="29">
                  <c:v>TRENT</c:v>
                </c:pt>
              </c:strCache>
            </c:strRef>
          </c:cat>
          <c:val>
            <c:numRef>
              <c:f>'KPI output'!$R$4:$R$34</c:f>
              <c:numCache>
                <c:formatCode>General</c:formatCode>
                <c:ptCount val="30"/>
                <c:pt idx="0">
                  <c:v>1824</c:v>
                </c:pt>
                <c:pt idx="1">
                  <c:v>1339.9</c:v>
                </c:pt>
                <c:pt idx="2">
                  <c:v>7547</c:v>
                </c:pt>
                <c:pt idx="3">
                  <c:v>2209.1999999999998</c:v>
                </c:pt>
                <c:pt idx="4">
                  <c:v>1694.7</c:v>
                </c:pt>
                <c:pt idx="5">
                  <c:v>846.5</c:v>
                </c:pt>
                <c:pt idx="6">
                  <c:v>405.95</c:v>
                </c:pt>
                <c:pt idx="7">
                  <c:v>1242</c:v>
                </c:pt>
                <c:pt idx="8">
                  <c:v>445.1</c:v>
                </c:pt>
                <c:pt idx="9">
                  <c:v>1281.0999999999999</c:v>
                </c:pt>
                <c:pt idx="10">
                  <c:v>6799</c:v>
                </c:pt>
                <c:pt idx="11">
                  <c:v>232.71</c:v>
                </c:pt>
                <c:pt idx="12">
                  <c:v>2642.1</c:v>
                </c:pt>
                <c:pt idx="13">
                  <c:v>757.95</c:v>
                </c:pt>
                <c:pt idx="14">
                  <c:v>2075</c:v>
                </c:pt>
                <c:pt idx="15">
                  <c:v>1237.9000000000001</c:v>
                </c:pt>
                <c:pt idx="16">
                  <c:v>4102.1000000000004</c:v>
                </c:pt>
                <c:pt idx="17">
                  <c:v>232</c:v>
                </c:pt>
                <c:pt idx="18">
                  <c:v>1130.0999999999999</c:v>
                </c:pt>
                <c:pt idx="19">
                  <c:v>3570</c:v>
                </c:pt>
                <c:pt idx="20">
                  <c:v>3044</c:v>
                </c:pt>
                <c:pt idx="21">
                  <c:v>12411</c:v>
                </c:pt>
                <c:pt idx="22">
                  <c:v>1348</c:v>
                </c:pt>
                <c:pt idx="23">
                  <c:v>1829.2</c:v>
                </c:pt>
                <c:pt idx="24">
                  <c:v>1019.2</c:v>
                </c:pt>
                <c:pt idx="25">
                  <c:v>903</c:v>
                </c:pt>
                <c:pt idx="26">
                  <c:v>1043.7</c:v>
                </c:pt>
                <c:pt idx="27">
                  <c:v>1386.7</c:v>
                </c:pt>
                <c:pt idx="28">
                  <c:v>302.3</c:v>
                </c:pt>
                <c:pt idx="29">
                  <c:v>3405</c:v>
                </c:pt>
              </c:numCache>
            </c:numRef>
          </c:val>
          <c:extLst>
            <c:ext xmlns:c16="http://schemas.microsoft.com/office/drawing/2014/chart" uri="{C3380CC4-5D6E-409C-BE32-E72D297353CC}">
              <c16:uniqueId val="{00000001-7F5B-4472-8E15-B3917B139BB9}"/>
            </c:ext>
          </c:extLst>
        </c:ser>
        <c:dLbls>
          <c:showLegendKey val="0"/>
          <c:showVal val="0"/>
          <c:showCatName val="0"/>
          <c:showSerName val="0"/>
          <c:showPercent val="0"/>
          <c:showBubbleSize val="0"/>
        </c:dLbls>
        <c:gapWidth val="80"/>
        <c:overlap val="25"/>
        <c:axId val="1699381103"/>
        <c:axId val="1699380623"/>
      </c:barChart>
      <c:catAx>
        <c:axId val="16993811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99380623"/>
        <c:crosses val="autoZero"/>
        <c:auto val="1"/>
        <c:lblAlgn val="ctr"/>
        <c:lblOffset val="100"/>
        <c:noMultiLvlLbl val="0"/>
      </c:catAx>
      <c:valAx>
        <c:axId val="169938062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99381103"/>
        <c:crosses val="autoZero"/>
        <c:crossBetween val="between"/>
      </c:valAx>
      <c:spPr>
        <a:noFill/>
        <a:ln>
          <a:noFill/>
        </a:ln>
        <a:effectLst/>
      </c:spPr>
    </c:plotArea>
    <c:legend>
      <c:legendPos val="r"/>
      <c:layout>
        <c:manualLayout>
          <c:xMode val="edge"/>
          <c:yMode val="edge"/>
          <c:x val="0.82227230971128595"/>
          <c:y val="0.34194480898221052"/>
          <c:w val="0.16106102362204727"/>
          <c:h val="0.269813721201516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[Nifty50.xlsx]KPI output!PivotTable1</c:name>
    <c:fmtId val="2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Bottom</a:t>
            </a:r>
            <a:r>
              <a:rPr lang="en-US" baseline="0"/>
              <a:t> 8 Target Difference stocks</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output'!$B$3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output'!$A$4:$A$12</c:f>
              <c:strCache>
                <c:ptCount val="8"/>
                <c:pt idx="0">
                  <c:v>BEL</c:v>
                </c:pt>
                <c:pt idx="1">
                  <c:v>ITC</c:v>
                </c:pt>
                <c:pt idx="2">
                  <c:v>JIOFIN</c:v>
                </c:pt>
                <c:pt idx="3">
                  <c:v>KOTAKBANK</c:v>
                </c:pt>
                <c:pt idx="4">
                  <c:v>ONGC</c:v>
                </c:pt>
                <c:pt idx="5">
                  <c:v>POWERGRID</c:v>
                </c:pt>
                <c:pt idx="6">
                  <c:v>TATASTEEL</c:v>
                </c:pt>
                <c:pt idx="7">
                  <c:v>WIPRO</c:v>
                </c:pt>
              </c:strCache>
            </c:strRef>
          </c:cat>
          <c:val>
            <c:numRef>
              <c:f>'KPI output'!$B$4:$B$12</c:f>
              <c:numCache>
                <c:formatCode>0.00</c:formatCode>
                <c:ptCount val="8"/>
                <c:pt idx="0">
                  <c:v>56.833000000000006</c:v>
                </c:pt>
                <c:pt idx="1">
                  <c:v>58.910000000000004</c:v>
                </c:pt>
                <c:pt idx="2">
                  <c:v>55.68</c:v>
                </c:pt>
                <c:pt idx="3">
                  <c:v>44.057999999999993</c:v>
                </c:pt>
                <c:pt idx="4">
                  <c:v>56.220000000000006</c:v>
                </c:pt>
                <c:pt idx="5">
                  <c:v>44.354999999999997</c:v>
                </c:pt>
                <c:pt idx="6">
                  <c:v>44.433700000000002</c:v>
                </c:pt>
                <c:pt idx="7">
                  <c:v>47.837499999999999</c:v>
                </c:pt>
              </c:numCache>
            </c:numRef>
          </c:val>
          <c:extLst>
            <c:ext xmlns:c16="http://schemas.microsoft.com/office/drawing/2014/chart" uri="{C3380CC4-5D6E-409C-BE32-E72D297353CC}">
              <c16:uniqueId val="{00000000-0CFF-4DDC-8A7C-AAB14FADF511}"/>
            </c:ext>
          </c:extLst>
        </c:ser>
        <c:dLbls>
          <c:dLblPos val="inEnd"/>
          <c:showLegendKey val="0"/>
          <c:showVal val="1"/>
          <c:showCatName val="0"/>
          <c:showSerName val="0"/>
          <c:showPercent val="0"/>
          <c:showBubbleSize val="0"/>
        </c:dLbls>
        <c:gapWidth val="41"/>
        <c:axId val="1884901039"/>
        <c:axId val="1884903439"/>
      </c:barChart>
      <c:catAx>
        <c:axId val="1884901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84903439"/>
        <c:crosses val="autoZero"/>
        <c:auto val="1"/>
        <c:lblAlgn val="ctr"/>
        <c:lblOffset val="100"/>
        <c:noMultiLvlLbl val="0"/>
      </c:catAx>
      <c:valAx>
        <c:axId val="1884903439"/>
        <c:scaling>
          <c:orientation val="minMax"/>
        </c:scaling>
        <c:delete val="1"/>
        <c:axPos val="l"/>
        <c:numFmt formatCode="0.00" sourceLinked="1"/>
        <c:majorTickMark val="none"/>
        <c:minorTickMark val="none"/>
        <c:tickLblPos val="nextTo"/>
        <c:crossAx val="188490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[Nifty50.xlsx]KPI output!PivotTable5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31824146981679E-2"/>
              <c:y val="-2.06372120151647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597279213337668E-2"/>
              <c:y val="-9.14989792942546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947110484428882E-2"/>
              <c:y val="-2.396689997083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974144077060792E-2"/>
              <c:y val="8.56335666375036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478989422096885E-2"/>
              <c:y val="7.168234179060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927465052783893E-2"/>
              <c:y val="8.2174103237095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716426071741032E-2"/>
              <c:y val="-3.5294546515018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65113735783026E-2"/>
              <c:y val="-1.7442403032954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31824146981679E-2"/>
              <c:y val="-2.06372120151647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597279213337668E-2"/>
              <c:y val="-9.14989792942546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947110484428882E-2"/>
              <c:y val="-2.396689997083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974144077060792E-2"/>
              <c:y val="8.56335666375036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478989422096885E-2"/>
              <c:y val="7.168234179060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927465052783893E-2"/>
              <c:y val="8.2174103237095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716426071741032E-2"/>
              <c:y val="-3.5294546515018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65113735783026E-2"/>
              <c:y val="-1.7442403032954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31824146981679E-2"/>
              <c:y val="-2.06372120151647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597279213337668E-2"/>
              <c:y val="-9.14989792942546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947110484428882E-2"/>
              <c:y val="-2.396689997083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974144077060792E-2"/>
              <c:y val="8.56335666375036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478989422096885E-2"/>
              <c:y val="7.168234179060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927465052783893E-2"/>
              <c:y val="8.2174103237095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716426071741032E-2"/>
              <c:y val="-3.5294546515018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465113735783026E-2"/>
              <c:y val="-1.7442403032954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663593107199628"/>
          <c:y val="0.15638670166229221"/>
          <c:w val="0.47283464566929134"/>
          <c:h val="0.78805774278215224"/>
        </c:manualLayout>
      </c:layout>
      <c:pieChart>
        <c:varyColors val="1"/>
        <c:ser>
          <c:idx val="0"/>
          <c:order val="0"/>
          <c:tx>
            <c:strRef>
              <c:f>'KPI output'!$N$3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A0-4A6F-8965-03046F0DB3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A0-4A6F-8965-03046F0DB3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A0-4A6F-8965-03046F0DB33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7A0-4A6F-8965-03046F0DB33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7A0-4A6F-8965-03046F0DB33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7A0-4A6F-8965-03046F0DB33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7A0-4A6F-8965-03046F0DB33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7A0-4A6F-8965-03046F0DB33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7A0-4A6F-8965-03046F0DB33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7A0-4A6F-8965-03046F0DB33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D0F-436E-A841-87B30C54816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D0F-436E-A841-87B30C54816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D0F-436E-A841-87B30C54816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D0F-436E-A841-87B30C54816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D0F-436E-A841-87B30C54816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D0F-436E-A841-87B30C54816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D0F-436E-A841-87B30C54816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2D0F-436E-A841-87B30C54816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2D0F-436E-A841-87B30C54816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2D0F-436E-A841-87B30C54816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2D0F-436E-A841-87B30C54816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2D0F-436E-A841-87B30C54816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D0F-436E-A841-87B30C54816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D0F-436E-A841-87B30C548163}"/>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D0F-436E-A841-87B30C548163}"/>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2D0F-436E-A841-87B30C548163}"/>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2D0F-436E-A841-87B30C548163}"/>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2D0F-436E-A841-87B30C548163}"/>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2D0F-436E-A841-87B30C548163}"/>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2D0F-436E-A841-87B30C548163}"/>
              </c:ext>
            </c:extLst>
          </c:dPt>
          <c:dLbls>
            <c:dLbl>
              <c:idx val="11"/>
              <c:layout>
                <c:manualLayout>
                  <c:x val="3.3597279213337668E-2"/>
                  <c:y val="-9.149897929425467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D0F-436E-A841-87B30C548163}"/>
                </c:ext>
              </c:extLst>
            </c:dLbl>
            <c:dLbl>
              <c:idx val="13"/>
              <c:layout>
                <c:manualLayout>
                  <c:x val="3.4947110484428882E-2"/>
                  <c:y val="-2.3966899970836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2D0F-436E-A841-87B30C548163}"/>
                </c:ext>
              </c:extLst>
            </c:dLbl>
            <c:dLbl>
              <c:idx val="22"/>
              <c:layout>
                <c:manualLayout>
                  <c:x val="-3.4927465052783893E-2"/>
                  <c:y val="8.217410323709536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2D0F-436E-A841-87B30C5481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output'!$M$4:$M$34</c:f>
              <c:strCache>
                <c:ptCount val="30"/>
                <c:pt idx="0">
                  <c:v>ADANIENT</c:v>
                </c:pt>
                <c:pt idx="1">
                  <c:v>ADANIPORTS</c:v>
                </c:pt>
                <c:pt idx="2">
                  <c:v>APOLLOHOSP</c:v>
                </c:pt>
                <c:pt idx="3">
                  <c:v>ASIANPAINT</c:v>
                </c:pt>
                <c:pt idx="4">
                  <c:v>BAJAJFINSV</c:v>
                </c:pt>
                <c:pt idx="5">
                  <c:v>BAJFINANCE</c:v>
                </c:pt>
                <c:pt idx="6">
                  <c:v>BEL</c:v>
                </c:pt>
                <c:pt idx="7">
                  <c:v>CIPLA</c:v>
                </c:pt>
                <c:pt idx="8">
                  <c:v>COALINDIA</c:v>
                </c:pt>
                <c:pt idx="9">
                  <c:v>DRREDDY</c:v>
                </c:pt>
                <c:pt idx="10">
                  <c:v>EICHERMOT</c:v>
                </c:pt>
                <c:pt idx="11">
                  <c:v>ETERNAL</c:v>
                </c:pt>
                <c:pt idx="12">
                  <c:v>GRASIM</c:v>
                </c:pt>
                <c:pt idx="13">
                  <c:v>HDFCBANK</c:v>
                </c:pt>
                <c:pt idx="14">
                  <c:v>HINDUNILVR</c:v>
                </c:pt>
                <c:pt idx="15">
                  <c:v>ICICIBANK</c:v>
                </c:pt>
                <c:pt idx="16">
                  <c:v>INDIGO</c:v>
                </c:pt>
                <c:pt idx="17">
                  <c:v>JIOFIN</c:v>
                </c:pt>
                <c:pt idx="18">
                  <c:v>JSWSTEEL</c:v>
                </c:pt>
                <c:pt idx="19">
                  <c:v>LT</c:v>
                </c:pt>
                <c:pt idx="20">
                  <c:v>M&amp;M</c:v>
                </c:pt>
                <c:pt idx="21">
                  <c:v>MARUTI</c:v>
                </c:pt>
                <c:pt idx="22">
                  <c:v>RELIANCE</c:v>
                </c:pt>
                <c:pt idx="23">
                  <c:v>SBILIFE</c:v>
                </c:pt>
                <c:pt idx="24">
                  <c:v>SBIN</c:v>
                </c:pt>
                <c:pt idx="25">
                  <c:v>SHRIRAMFIN</c:v>
                </c:pt>
                <c:pt idx="26">
                  <c:v>TATACONSUM</c:v>
                </c:pt>
                <c:pt idx="27">
                  <c:v>TECHM</c:v>
                </c:pt>
                <c:pt idx="28">
                  <c:v>TMPV</c:v>
                </c:pt>
                <c:pt idx="29">
                  <c:v>TRENT</c:v>
                </c:pt>
              </c:strCache>
            </c:strRef>
          </c:cat>
          <c:val>
            <c:numRef>
              <c:f>'KPI output'!$N$4:$N$34</c:f>
              <c:numCache>
                <c:formatCode>#,##0</c:formatCode>
                <c:ptCount val="30"/>
                <c:pt idx="0">
                  <c:v>2585257</c:v>
                </c:pt>
                <c:pt idx="1">
                  <c:v>2667313</c:v>
                </c:pt>
                <c:pt idx="2">
                  <c:v>533512</c:v>
                </c:pt>
                <c:pt idx="3">
                  <c:v>1089010</c:v>
                </c:pt>
                <c:pt idx="4">
                  <c:v>2522237</c:v>
                </c:pt>
                <c:pt idx="5">
                  <c:v>11282824</c:v>
                </c:pt>
                <c:pt idx="6">
                  <c:v>21818224</c:v>
                </c:pt>
                <c:pt idx="7">
                  <c:v>2220695</c:v>
                </c:pt>
                <c:pt idx="8">
                  <c:v>17184280</c:v>
                </c:pt>
                <c:pt idx="9">
                  <c:v>2165113</c:v>
                </c:pt>
                <c:pt idx="10">
                  <c:v>533428</c:v>
                </c:pt>
                <c:pt idx="11">
                  <c:v>38767229</c:v>
                </c:pt>
                <c:pt idx="12">
                  <c:v>2406056</c:v>
                </c:pt>
                <c:pt idx="13">
                  <c:v>65485199</c:v>
                </c:pt>
                <c:pt idx="14">
                  <c:v>2789151</c:v>
                </c:pt>
                <c:pt idx="15">
                  <c:v>23630905</c:v>
                </c:pt>
                <c:pt idx="16">
                  <c:v>1693708</c:v>
                </c:pt>
                <c:pt idx="17">
                  <c:v>19784233</c:v>
                </c:pt>
                <c:pt idx="18">
                  <c:v>2750813</c:v>
                </c:pt>
                <c:pt idx="19">
                  <c:v>3991388</c:v>
                </c:pt>
                <c:pt idx="20">
                  <c:v>3155168</c:v>
                </c:pt>
                <c:pt idx="21">
                  <c:v>775339</c:v>
                </c:pt>
                <c:pt idx="22">
                  <c:v>23266517</c:v>
                </c:pt>
                <c:pt idx="23">
                  <c:v>1156884</c:v>
                </c:pt>
                <c:pt idx="24">
                  <c:v>20445349</c:v>
                </c:pt>
                <c:pt idx="25">
                  <c:v>12238678</c:v>
                </c:pt>
                <c:pt idx="26">
                  <c:v>1815831</c:v>
                </c:pt>
                <c:pt idx="27">
                  <c:v>2584016</c:v>
                </c:pt>
                <c:pt idx="28">
                  <c:v>19009638</c:v>
                </c:pt>
                <c:pt idx="29">
                  <c:v>1288297</c:v>
                </c:pt>
              </c:numCache>
            </c:numRef>
          </c:val>
          <c:extLst>
            <c:ext xmlns:c16="http://schemas.microsoft.com/office/drawing/2014/chart" uri="{C3380CC4-5D6E-409C-BE32-E72D297353CC}">
              <c16:uniqueId val="{00000014-77A0-4A6F-8965-03046F0DB33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818963254593178"/>
          <c:y val="0.10242818606007582"/>
          <c:w val="0.17681036745406825"/>
          <c:h val="0.88671515018955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[Nifty50.xlsx]KPI output!PivotTable3</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Potential Profit in Percentage</a:t>
            </a:r>
          </a:p>
        </c:rich>
      </c:tx>
      <c:layout>
        <c:manualLayout>
          <c:xMode val="edge"/>
          <c:yMode val="edge"/>
          <c:x val="0.27027777777777778"/>
          <c:y val="7.305336832895889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5048118985126"/>
          <c:y val="0.20309966462525517"/>
          <c:w val="0.75425437445319343"/>
          <c:h val="0.44360928842228048"/>
        </c:manualLayout>
      </c:layout>
      <c:areaChart>
        <c:grouping val="standard"/>
        <c:varyColors val="0"/>
        <c:ser>
          <c:idx val="0"/>
          <c:order val="0"/>
          <c:tx>
            <c:strRef>
              <c:f>'KPI output'!$H$3</c:f>
              <c:strCache>
                <c:ptCount val="1"/>
                <c:pt idx="0">
                  <c:v>Total</c:v>
                </c:pt>
              </c:strCache>
            </c:strRef>
          </c:tx>
          <c:spPr>
            <a:pattFill prst="ltUpDiag">
              <a:fgClr>
                <a:schemeClr val="accent2"/>
              </a:fgClr>
              <a:bgClr>
                <a:schemeClr val="accent2">
                  <a:lumMod val="20000"/>
                  <a:lumOff val="80000"/>
                </a:schemeClr>
              </a:bgClr>
            </a:pattFill>
            <a:ln>
              <a:noFill/>
            </a:ln>
            <a:effectLst>
              <a:innerShdw blurRad="114300">
                <a:schemeClr val="accent2"/>
              </a:innerShdw>
            </a:effectLst>
          </c:spPr>
          <c:cat>
            <c:strRef>
              <c:f>'KPI output'!$G$4:$G$34</c:f>
              <c:strCache>
                <c:ptCount val="30"/>
                <c:pt idx="0">
                  <c:v>ADANIENT</c:v>
                </c:pt>
                <c:pt idx="1">
                  <c:v>ADANIPORTS</c:v>
                </c:pt>
                <c:pt idx="2">
                  <c:v>APOLLOHOSP</c:v>
                </c:pt>
                <c:pt idx="3">
                  <c:v>ASIANPAINT</c:v>
                </c:pt>
                <c:pt idx="4">
                  <c:v>BAJAJFINSV</c:v>
                </c:pt>
                <c:pt idx="5">
                  <c:v>BAJFINANCE</c:v>
                </c:pt>
                <c:pt idx="6">
                  <c:v>BEL</c:v>
                </c:pt>
                <c:pt idx="7">
                  <c:v>CIPLA</c:v>
                </c:pt>
                <c:pt idx="8">
                  <c:v>COALINDIA</c:v>
                </c:pt>
                <c:pt idx="9">
                  <c:v>DRREDDY</c:v>
                </c:pt>
                <c:pt idx="10">
                  <c:v>EICHERMOT</c:v>
                </c:pt>
                <c:pt idx="11">
                  <c:v>ETERNAL</c:v>
                </c:pt>
                <c:pt idx="12">
                  <c:v>GRASIM</c:v>
                </c:pt>
                <c:pt idx="13">
                  <c:v>HDFCBANK</c:v>
                </c:pt>
                <c:pt idx="14">
                  <c:v>HINDUNILVR</c:v>
                </c:pt>
                <c:pt idx="15">
                  <c:v>ICICIBANK</c:v>
                </c:pt>
                <c:pt idx="16">
                  <c:v>INDIGO</c:v>
                </c:pt>
                <c:pt idx="17">
                  <c:v>JIOFIN</c:v>
                </c:pt>
                <c:pt idx="18">
                  <c:v>JSWSTEEL</c:v>
                </c:pt>
                <c:pt idx="19">
                  <c:v>LT</c:v>
                </c:pt>
                <c:pt idx="20">
                  <c:v>M&amp;M</c:v>
                </c:pt>
                <c:pt idx="21">
                  <c:v>MARUTI</c:v>
                </c:pt>
                <c:pt idx="22">
                  <c:v>RELIANCE</c:v>
                </c:pt>
                <c:pt idx="23">
                  <c:v>SBILIFE</c:v>
                </c:pt>
                <c:pt idx="24">
                  <c:v>SBIN</c:v>
                </c:pt>
                <c:pt idx="25">
                  <c:v>SHRIRAMFIN</c:v>
                </c:pt>
                <c:pt idx="26">
                  <c:v>TATACONSUM</c:v>
                </c:pt>
                <c:pt idx="27">
                  <c:v>TECHM</c:v>
                </c:pt>
                <c:pt idx="28">
                  <c:v>TMPV</c:v>
                </c:pt>
                <c:pt idx="29">
                  <c:v>TRENT</c:v>
                </c:pt>
              </c:strCache>
            </c:strRef>
          </c:cat>
          <c:val>
            <c:numRef>
              <c:f>'KPI output'!$H$4:$H$34</c:f>
              <c:numCache>
                <c:formatCode>0.00%</c:formatCode>
                <c:ptCount val="30"/>
                <c:pt idx="0">
                  <c:v>2.385907168407074E-2</c:v>
                </c:pt>
                <c:pt idx="1">
                  <c:v>1.4021390416441392E-2</c:v>
                </c:pt>
                <c:pt idx="2">
                  <c:v>0.11846343026294859</c:v>
                </c:pt>
                <c:pt idx="3">
                  <c:v>2.1673298176171495E-2</c:v>
                </c:pt>
                <c:pt idx="4">
                  <c:v>3.5468393669293559E-2</c:v>
                </c:pt>
                <c:pt idx="5">
                  <c:v>1.494821855469514E-2</c:v>
                </c:pt>
                <c:pt idx="6">
                  <c:v>3.7170576234122599E-3</c:v>
                </c:pt>
                <c:pt idx="7">
                  <c:v>2.5993830729487587E-2</c:v>
                </c:pt>
                <c:pt idx="8">
                  <c:v>5.8221890386951089E-3</c:v>
                </c:pt>
                <c:pt idx="9">
                  <c:v>2.5136395340841288E-2</c:v>
                </c:pt>
                <c:pt idx="10">
                  <c:v>8.8935212927629889E-2</c:v>
                </c:pt>
                <c:pt idx="11">
                  <c:v>4.2615912282018319E-3</c:v>
                </c:pt>
                <c:pt idx="12">
                  <c:v>3.456033623710706E-2</c:v>
                </c:pt>
                <c:pt idx="13">
                  <c:v>9.9144645739810376E-3</c:v>
                </c:pt>
                <c:pt idx="14">
                  <c:v>3.3927887708639505E-2</c:v>
                </c:pt>
                <c:pt idx="15">
                  <c:v>1.2144385212874649E-2</c:v>
                </c:pt>
                <c:pt idx="16">
                  <c:v>4.0243543567116208E-2</c:v>
                </c:pt>
                <c:pt idx="17">
                  <c:v>3.6416477833581644E-3</c:v>
                </c:pt>
                <c:pt idx="18">
                  <c:v>1.330417939646463E-2</c:v>
                </c:pt>
                <c:pt idx="19">
                  <c:v>9.3395708236987396E-2</c:v>
                </c:pt>
                <c:pt idx="20">
                  <c:v>4.3799186198981585E-2</c:v>
                </c:pt>
                <c:pt idx="21">
                  <c:v>0.13799215892014893</c:v>
                </c:pt>
                <c:pt idx="22">
                  <c:v>2.644903670240736E-2</c:v>
                </c:pt>
                <c:pt idx="23">
                  <c:v>3.3497927354332824E-2</c:v>
                </c:pt>
                <c:pt idx="24">
                  <c:v>1.9997669293096123E-2</c:v>
                </c:pt>
                <c:pt idx="25">
                  <c:v>7.6776766035994036E-3</c:v>
                </c:pt>
                <c:pt idx="26">
                  <c:v>1.7065318747714237E-2</c:v>
                </c:pt>
                <c:pt idx="27">
                  <c:v>1.813891157034039E-2</c:v>
                </c:pt>
                <c:pt idx="28">
                  <c:v>5.1405573361419724E-3</c:v>
                </c:pt>
                <c:pt idx="29">
                  <c:v>6.6809324904819764E-2</c:v>
                </c:pt>
              </c:numCache>
            </c:numRef>
          </c:val>
          <c:extLst>
            <c:ext xmlns:c16="http://schemas.microsoft.com/office/drawing/2014/chart" uri="{C3380CC4-5D6E-409C-BE32-E72D297353CC}">
              <c16:uniqueId val="{00000000-036A-4F32-9037-762C11BFD5EE}"/>
            </c:ext>
          </c:extLst>
        </c:ser>
        <c:dLbls>
          <c:showLegendKey val="0"/>
          <c:showVal val="0"/>
          <c:showCatName val="0"/>
          <c:showSerName val="0"/>
          <c:showPercent val="0"/>
          <c:showBubbleSize val="0"/>
        </c:dLbls>
        <c:axId val="1884929359"/>
        <c:axId val="1884944719"/>
      </c:areaChart>
      <c:catAx>
        <c:axId val="1884929359"/>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84944719"/>
        <c:crosses val="autoZero"/>
        <c:auto val="1"/>
        <c:lblAlgn val="ctr"/>
        <c:lblOffset val="100"/>
        <c:noMultiLvlLbl val="0"/>
      </c:catAx>
      <c:valAx>
        <c:axId val="1884944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29359"/>
        <c:crosses val="autoZero"/>
        <c:crossBetween val="midCat"/>
      </c:valAx>
      <c:spPr>
        <a:noFill/>
        <a:ln>
          <a:noFill/>
        </a:ln>
        <a:effectLst/>
      </c:spPr>
    </c:plotArea>
    <c:legend>
      <c:legendPos val="r"/>
      <c:layout>
        <c:manualLayout>
          <c:xMode val="edge"/>
          <c:yMode val="edge"/>
          <c:x val="0.9002591863517061"/>
          <c:y val="0.51959463400408279"/>
          <c:w val="8.3074146981627295E-2"/>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[Nifty50.xlsx]KPI output!PivotTable6</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2860892388451445"/>
          <c:w val="0.70813582677165354"/>
          <c:h val="0.49688757655293087"/>
        </c:manualLayout>
      </c:layout>
      <c:barChart>
        <c:barDir val="col"/>
        <c:grouping val="clustered"/>
        <c:varyColors val="0"/>
        <c:ser>
          <c:idx val="0"/>
          <c:order val="0"/>
          <c:tx>
            <c:strRef>
              <c:f>'KPI output'!$Q$3</c:f>
              <c:strCache>
                <c:ptCount val="1"/>
                <c:pt idx="0">
                  <c:v>52W LOW</c:v>
                </c:pt>
              </c:strCache>
            </c:strRef>
          </c:tx>
          <c:spPr>
            <a:solidFill>
              <a:schemeClr val="accent1">
                <a:alpha val="70000"/>
              </a:schemeClr>
            </a:solidFill>
            <a:ln>
              <a:noFill/>
            </a:ln>
            <a:effectLst/>
          </c:spPr>
          <c:invertIfNegative val="0"/>
          <c:cat>
            <c:strRef>
              <c:f>'KPI output'!$P$4:$P$34</c:f>
              <c:strCache>
                <c:ptCount val="30"/>
                <c:pt idx="0">
                  <c:v>ADANIENT</c:v>
                </c:pt>
                <c:pt idx="1">
                  <c:v>ADANIPORTS</c:v>
                </c:pt>
                <c:pt idx="2">
                  <c:v>APOLLOHOSP</c:v>
                </c:pt>
                <c:pt idx="3">
                  <c:v>ASIANPAINT</c:v>
                </c:pt>
                <c:pt idx="4">
                  <c:v>BAJAJFINSV</c:v>
                </c:pt>
                <c:pt idx="5">
                  <c:v>BAJFINANCE</c:v>
                </c:pt>
                <c:pt idx="6">
                  <c:v>BEL</c:v>
                </c:pt>
                <c:pt idx="7">
                  <c:v>CIPLA</c:v>
                </c:pt>
                <c:pt idx="8">
                  <c:v>COALINDIA</c:v>
                </c:pt>
                <c:pt idx="9">
                  <c:v>DRREDDY</c:v>
                </c:pt>
                <c:pt idx="10">
                  <c:v>EICHERMOT</c:v>
                </c:pt>
                <c:pt idx="11">
                  <c:v>ETERNAL</c:v>
                </c:pt>
                <c:pt idx="12">
                  <c:v>GRASIM</c:v>
                </c:pt>
                <c:pt idx="13">
                  <c:v>HDFCBANK</c:v>
                </c:pt>
                <c:pt idx="14">
                  <c:v>HINDUNILVR</c:v>
                </c:pt>
                <c:pt idx="15">
                  <c:v>ICICIBANK</c:v>
                </c:pt>
                <c:pt idx="16">
                  <c:v>INDIGO</c:v>
                </c:pt>
                <c:pt idx="17">
                  <c:v>JIOFIN</c:v>
                </c:pt>
                <c:pt idx="18">
                  <c:v>JSWSTEEL</c:v>
                </c:pt>
                <c:pt idx="19">
                  <c:v>LT</c:v>
                </c:pt>
                <c:pt idx="20">
                  <c:v>M&amp;M</c:v>
                </c:pt>
                <c:pt idx="21">
                  <c:v>MARUTI</c:v>
                </c:pt>
                <c:pt idx="22">
                  <c:v>RELIANCE</c:v>
                </c:pt>
                <c:pt idx="23">
                  <c:v>SBILIFE</c:v>
                </c:pt>
                <c:pt idx="24">
                  <c:v>SBIN</c:v>
                </c:pt>
                <c:pt idx="25">
                  <c:v>SHRIRAMFIN</c:v>
                </c:pt>
                <c:pt idx="26">
                  <c:v>TATACONSUM</c:v>
                </c:pt>
                <c:pt idx="27">
                  <c:v>TECHM</c:v>
                </c:pt>
                <c:pt idx="28">
                  <c:v>TMPV</c:v>
                </c:pt>
                <c:pt idx="29">
                  <c:v>TRENT</c:v>
                </c:pt>
              </c:strCache>
            </c:strRef>
          </c:cat>
          <c:val>
            <c:numRef>
              <c:f>'KPI output'!$Q$4:$Q$34</c:f>
              <c:numCache>
                <c:formatCode>General</c:formatCode>
                <c:ptCount val="30"/>
                <c:pt idx="0">
                  <c:v>1813.7</c:v>
                </c:pt>
                <c:pt idx="1">
                  <c:v>1041.5</c:v>
                </c:pt>
                <c:pt idx="2">
                  <c:v>6430.25</c:v>
                </c:pt>
                <c:pt idx="3">
                  <c:v>2115</c:v>
                </c:pt>
                <c:pt idx="4">
                  <c:v>1662.7</c:v>
                </c:pt>
                <c:pt idx="5">
                  <c:v>787.9</c:v>
                </c:pt>
                <c:pt idx="6">
                  <c:v>256.2</c:v>
                </c:pt>
                <c:pt idx="7">
                  <c:v>1216.5999999999999</c:v>
                </c:pt>
                <c:pt idx="8">
                  <c:v>356</c:v>
                </c:pt>
                <c:pt idx="9">
                  <c:v>1020</c:v>
                </c:pt>
                <c:pt idx="10">
                  <c:v>4999.95</c:v>
                </c:pt>
                <c:pt idx="11">
                  <c:v>194.8</c:v>
                </c:pt>
                <c:pt idx="12">
                  <c:v>2465.5</c:v>
                </c:pt>
                <c:pt idx="13">
                  <c:v>741.05</c:v>
                </c:pt>
                <c:pt idx="14">
                  <c:v>2033.3</c:v>
                </c:pt>
                <c:pt idx="15">
                  <c:v>1218.0999999999999</c:v>
                </c:pt>
                <c:pt idx="16">
                  <c:v>3895.2</c:v>
                </c:pt>
                <c:pt idx="17">
                  <c:v>203.1</c:v>
                </c:pt>
                <c:pt idx="18">
                  <c:v>905.2</c:v>
                </c:pt>
                <c:pt idx="19">
                  <c:v>2965.3</c:v>
                </c:pt>
                <c:pt idx="20">
                  <c:v>2425</c:v>
                </c:pt>
                <c:pt idx="21">
                  <c:v>11059.45</c:v>
                </c:pt>
                <c:pt idx="22">
                  <c:v>1114.8499999999999</c:v>
                </c:pt>
                <c:pt idx="23">
                  <c:v>1430.55</c:v>
                </c:pt>
                <c:pt idx="24">
                  <c:v>730</c:v>
                </c:pt>
                <c:pt idx="25">
                  <c:v>566.5</c:v>
                </c:pt>
                <c:pt idx="26">
                  <c:v>952.5</c:v>
                </c:pt>
                <c:pt idx="27">
                  <c:v>1264.3499999999999</c:v>
                </c:pt>
                <c:pt idx="28">
                  <c:v>301.05</c:v>
                </c:pt>
                <c:pt idx="29">
                  <c:v>3340.3</c:v>
                </c:pt>
              </c:numCache>
            </c:numRef>
          </c:val>
          <c:extLst>
            <c:ext xmlns:c16="http://schemas.microsoft.com/office/drawing/2014/chart" uri="{C3380CC4-5D6E-409C-BE32-E72D297353CC}">
              <c16:uniqueId val="{00000000-1E40-4686-9657-E0826BC99434}"/>
            </c:ext>
          </c:extLst>
        </c:ser>
        <c:ser>
          <c:idx val="1"/>
          <c:order val="1"/>
          <c:tx>
            <c:strRef>
              <c:f>'KPI output'!$R$3</c:f>
              <c:strCache>
                <c:ptCount val="1"/>
                <c:pt idx="0">
                  <c:v>LTP</c:v>
                </c:pt>
              </c:strCache>
            </c:strRef>
          </c:tx>
          <c:spPr>
            <a:solidFill>
              <a:schemeClr val="accent2">
                <a:alpha val="70000"/>
              </a:schemeClr>
            </a:solidFill>
            <a:ln>
              <a:noFill/>
            </a:ln>
            <a:effectLst/>
          </c:spPr>
          <c:invertIfNegative val="0"/>
          <c:cat>
            <c:strRef>
              <c:f>'KPI output'!$P$4:$P$34</c:f>
              <c:strCache>
                <c:ptCount val="30"/>
                <c:pt idx="0">
                  <c:v>ADANIENT</c:v>
                </c:pt>
                <c:pt idx="1">
                  <c:v>ADANIPORTS</c:v>
                </c:pt>
                <c:pt idx="2">
                  <c:v>APOLLOHOSP</c:v>
                </c:pt>
                <c:pt idx="3">
                  <c:v>ASIANPAINT</c:v>
                </c:pt>
                <c:pt idx="4">
                  <c:v>BAJAJFINSV</c:v>
                </c:pt>
                <c:pt idx="5">
                  <c:v>BAJFINANCE</c:v>
                </c:pt>
                <c:pt idx="6">
                  <c:v>BEL</c:v>
                </c:pt>
                <c:pt idx="7">
                  <c:v>CIPLA</c:v>
                </c:pt>
                <c:pt idx="8">
                  <c:v>COALINDIA</c:v>
                </c:pt>
                <c:pt idx="9">
                  <c:v>DRREDDY</c:v>
                </c:pt>
                <c:pt idx="10">
                  <c:v>EICHERMOT</c:v>
                </c:pt>
                <c:pt idx="11">
                  <c:v>ETERNAL</c:v>
                </c:pt>
                <c:pt idx="12">
                  <c:v>GRASIM</c:v>
                </c:pt>
                <c:pt idx="13">
                  <c:v>HDFCBANK</c:v>
                </c:pt>
                <c:pt idx="14">
                  <c:v>HINDUNILVR</c:v>
                </c:pt>
                <c:pt idx="15">
                  <c:v>ICICIBANK</c:v>
                </c:pt>
                <c:pt idx="16">
                  <c:v>INDIGO</c:v>
                </c:pt>
                <c:pt idx="17">
                  <c:v>JIOFIN</c:v>
                </c:pt>
                <c:pt idx="18">
                  <c:v>JSWSTEEL</c:v>
                </c:pt>
                <c:pt idx="19">
                  <c:v>LT</c:v>
                </c:pt>
                <c:pt idx="20">
                  <c:v>M&amp;M</c:v>
                </c:pt>
                <c:pt idx="21">
                  <c:v>MARUTI</c:v>
                </c:pt>
                <c:pt idx="22">
                  <c:v>RELIANCE</c:v>
                </c:pt>
                <c:pt idx="23">
                  <c:v>SBILIFE</c:v>
                </c:pt>
                <c:pt idx="24">
                  <c:v>SBIN</c:v>
                </c:pt>
                <c:pt idx="25">
                  <c:v>SHRIRAMFIN</c:v>
                </c:pt>
                <c:pt idx="26">
                  <c:v>TATACONSUM</c:v>
                </c:pt>
                <c:pt idx="27">
                  <c:v>TECHM</c:v>
                </c:pt>
                <c:pt idx="28">
                  <c:v>TMPV</c:v>
                </c:pt>
                <c:pt idx="29">
                  <c:v>TRENT</c:v>
                </c:pt>
              </c:strCache>
            </c:strRef>
          </c:cat>
          <c:val>
            <c:numRef>
              <c:f>'KPI output'!$R$4:$R$34</c:f>
              <c:numCache>
                <c:formatCode>General</c:formatCode>
                <c:ptCount val="30"/>
                <c:pt idx="0">
                  <c:v>1824</c:v>
                </c:pt>
                <c:pt idx="1">
                  <c:v>1339.9</c:v>
                </c:pt>
                <c:pt idx="2">
                  <c:v>7547</c:v>
                </c:pt>
                <c:pt idx="3">
                  <c:v>2209.1999999999998</c:v>
                </c:pt>
                <c:pt idx="4">
                  <c:v>1694.7</c:v>
                </c:pt>
                <c:pt idx="5">
                  <c:v>846.5</c:v>
                </c:pt>
                <c:pt idx="6">
                  <c:v>405.95</c:v>
                </c:pt>
                <c:pt idx="7">
                  <c:v>1242</c:v>
                </c:pt>
                <c:pt idx="8">
                  <c:v>445.1</c:v>
                </c:pt>
                <c:pt idx="9">
                  <c:v>1281.0999999999999</c:v>
                </c:pt>
                <c:pt idx="10">
                  <c:v>6799</c:v>
                </c:pt>
                <c:pt idx="11">
                  <c:v>232.71</c:v>
                </c:pt>
                <c:pt idx="12">
                  <c:v>2642.1</c:v>
                </c:pt>
                <c:pt idx="13">
                  <c:v>757.95</c:v>
                </c:pt>
                <c:pt idx="14">
                  <c:v>2075</c:v>
                </c:pt>
                <c:pt idx="15">
                  <c:v>1237.9000000000001</c:v>
                </c:pt>
                <c:pt idx="16">
                  <c:v>4102.1000000000004</c:v>
                </c:pt>
                <c:pt idx="17">
                  <c:v>232</c:v>
                </c:pt>
                <c:pt idx="18">
                  <c:v>1130.0999999999999</c:v>
                </c:pt>
                <c:pt idx="19">
                  <c:v>3570</c:v>
                </c:pt>
                <c:pt idx="20">
                  <c:v>3044</c:v>
                </c:pt>
                <c:pt idx="21">
                  <c:v>12411</c:v>
                </c:pt>
                <c:pt idx="22">
                  <c:v>1348</c:v>
                </c:pt>
                <c:pt idx="23">
                  <c:v>1829.2</c:v>
                </c:pt>
                <c:pt idx="24">
                  <c:v>1019.2</c:v>
                </c:pt>
                <c:pt idx="25">
                  <c:v>903</c:v>
                </c:pt>
                <c:pt idx="26">
                  <c:v>1043.7</c:v>
                </c:pt>
                <c:pt idx="27">
                  <c:v>1386.7</c:v>
                </c:pt>
                <c:pt idx="28">
                  <c:v>302.3</c:v>
                </c:pt>
                <c:pt idx="29">
                  <c:v>3405</c:v>
                </c:pt>
              </c:numCache>
            </c:numRef>
          </c:val>
          <c:extLst>
            <c:ext xmlns:c16="http://schemas.microsoft.com/office/drawing/2014/chart" uri="{C3380CC4-5D6E-409C-BE32-E72D297353CC}">
              <c16:uniqueId val="{00000001-1E40-4686-9657-E0826BC99434}"/>
            </c:ext>
          </c:extLst>
        </c:ser>
        <c:dLbls>
          <c:showLegendKey val="0"/>
          <c:showVal val="0"/>
          <c:showCatName val="0"/>
          <c:showSerName val="0"/>
          <c:showPercent val="0"/>
          <c:showBubbleSize val="0"/>
        </c:dLbls>
        <c:gapWidth val="80"/>
        <c:overlap val="25"/>
        <c:axId val="1699381103"/>
        <c:axId val="1699380623"/>
      </c:barChart>
      <c:catAx>
        <c:axId val="16993811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99380623"/>
        <c:crosses val="autoZero"/>
        <c:auto val="1"/>
        <c:lblAlgn val="ctr"/>
        <c:lblOffset val="100"/>
        <c:noMultiLvlLbl val="0"/>
      </c:catAx>
      <c:valAx>
        <c:axId val="169938062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99381103"/>
        <c:crosses val="autoZero"/>
        <c:crossBetween val="between"/>
      </c:valAx>
      <c:spPr>
        <a:noFill/>
        <a:ln>
          <a:noFill/>
        </a:ln>
        <a:effectLst/>
      </c:spPr>
    </c:plotArea>
    <c:legend>
      <c:legendPos val="r"/>
      <c:layout>
        <c:manualLayout>
          <c:xMode val="edge"/>
          <c:yMode val="edge"/>
          <c:x val="0.82227230971128595"/>
          <c:y val="0.34194480898221052"/>
          <c:w val="0.16106102362204727"/>
          <c:h val="0.269813721201516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[Nifty50.xlsx]KPI output!PivotTable2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Booked stocks</a:t>
            </a:r>
          </a:p>
        </c:rich>
      </c:tx>
      <c:layout>
        <c:manualLayout>
          <c:xMode val="edge"/>
          <c:yMode val="edge"/>
          <c:x val="0.3258333333333333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0.17532188684747738"/>
          <c:w val="0.74623797025371841"/>
          <c:h val="0.42799759405074367"/>
        </c:manualLayout>
      </c:layout>
      <c:lineChart>
        <c:grouping val="stacked"/>
        <c:varyColors val="0"/>
        <c:ser>
          <c:idx val="0"/>
          <c:order val="0"/>
          <c:tx>
            <c:strRef>
              <c:f>'KPI output'!$E$2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 output'!$D$3:$D$53</c:f>
              <c:strCache>
                <c:ptCount val="50"/>
                <c:pt idx="0">
                  <c:v>WIPRO</c:v>
                </c:pt>
                <c:pt idx="1">
                  <c:v>ULTRACEMCO</c:v>
                </c:pt>
                <c:pt idx="2">
                  <c:v>TRENT</c:v>
                </c:pt>
                <c:pt idx="3">
                  <c:v>TMPV</c:v>
                </c:pt>
                <c:pt idx="4">
                  <c:v>TITAN</c:v>
                </c:pt>
                <c:pt idx="5">
                  <c:v>TECHM</c:v>
                </c:pt>
                <c:pt idx="6">
                  <c:v>TCS</c:v>
                </c:pt>
                <c:pt idx="7">
                  <c:v>TATASTEEL</c:v>
                </c:pt>
                <c:pt idx="8">
                  <c:v>TATACONSUM</c:v>
                </c:pt>
                <c:pt idx="9">
                  <c:v>SUNPHARMA</c:v>
                </c:pt>
                <c:pt idx="10">
                  <c:v>SHRIRAMFIN</c:v>
                </c:pt>
                <c:pt idx="11">
                  <c:v>SBIN</c:v>
                </c:pt>
                <c:pt idx="12">
                  <c:v>SBILIFE</c:v>
                </c:pt>
                <c:pt idx="13">
                  <c:v>RELIANCE</c:v>
                </c:pt>
                <c:pt idx="14">
                  <c:v>POWERGRID</c:v>
                </c:pt>
                <c:pt idx="15">
                  <c:v>ONGC</c:v>
                </c:pt>
                <c:pt idx="16">
                  <c:v>NTPC</c:v>
                </c:pt>
                <c:pt idx="17">
                  <c:v>NESTLEIND</c:v>
                </c:pt>
                <c:pt idx="18">
                  <c:v>MAXHEALTH</c:v>
                </c:pt>
                <c:pt idx="19">
                  <c:v>MARUTI</c:v>
                </c:pt>
                <c:pt idx="20">
                  <c:v>M&amp;M</c:v>
                </c:pt>
                <c:pt idx="21">
                  <c:v>LT</c:v>
                </c:pt>
                <c:pt idx="22">
                  <c:v>KOTAKBANK</c:v>
                </c:pt>
                <c:pt idx="23">
                  <c:v>JSWSTEEL</c:v>
                </c:pt>
                <c:pt idx="24">
                  <c:v>JIOFIN</c:v>
                </c:pt>
                <c:pt idx="25">
                  <c:v>ITC</c:v>
                </c:pt>
                <c:pt idx="26">
                  <c:v>INFY</c:v>
                </c:pt>
                <c:pt idx="27">
                  <c:v>INDIGO</c:v>
                </c:pt>
                <c:pt idx="28">
                  <c:v>ICICIBANK</c:v>
                </c:pt>
                <c:pt idx="29">
                  <c:v>HINDUNILVR</c:v>
                </c:pt>
                <c:pt idx="30">
                  <c:v>HINDALCO</c:v>
                </c:pt>
                <c:pt idx="31">
                  <c:v>HDFCLIFE</c:v>
                </c:pt>
                <c:pt idx="32">
                  <c:v>HDFCBANK</c:v>
                </c:pt>
                <c:pt idx="33">
                  <c:v>HCLTECH</c:v>
                </c:pt>
                <c:pt idx="34">
                  <c:v>GRASIM</c:v>
                </c:pt>
                <c:pt idx="35">
                  <c:v>ETERNAL</c:v>
                </c:pt>
                <c:pt idx="36">
                  <c:v>EICHERMOT</c:v>
                </c:pt>
                <c:pt idx="37">
                  <c:v>DRREDDY</c:v>
                </c:pt>
                <c:pt idx="38">
                  <c:v>COALINDIA</c:v>
                </c:pt>
                <c:pt idx="39">
                  <c:v>CIPLA</c:v>
                </c:pt>
                <c:pt idx="40">
                  <c:v>BHARTIARTL</c:v>
                </c:pt>
                <c:pt idx="41">
                  <c:v>BEL</c:v>
                </c:pt>
                <c:pt idx="42">
                  <c:v>BAJFINANCE</c:v>
                </c:pt>
                <c:pt idx="43">
                  <c:v>BAJAJFINSV</c:v>
                </c:pt>
                <c:pt idx="44">
                  <c:v>BAJAJ-AUTO</c:v>
                </c:pt>
                <c:pt idx="45">
                  <c:v>AXISBANK</c:v>
                </c:pt>
                <c:pt idx="46">
                  <c:v>ASIANPAINT</c:v>
                </c:pt>
                <c:pt idx="47">
                  <c:v>APOLLOHOSP</c:v>
                </c:pt>
                <c:pt idx="48">
                  <c:v>ADANIPORTS</c:v>
                </c:pt>
                <c:pt idx="49">
                  <c:v>ADANIENT</c:v>
                </c:pt>
              </c:strCache>
            </c:strRef>
          </c:cat>
          <c:val>
            <c:numRef>
              <c:f>'KPI output'!$E$3:$E$53</c:f>
              <c:numCache>
                <c:formatCode>#,##0</c:formatCode>
                <c:ptCount val="50"/>
                <c:pt idx="0">
                  <c:v>825</c:v>
                </c:pt>
                <c:pt idx="1">
                  <c:v>15</c:v>
                </c:pt>
                <c:pt idx="2">
                  <c:v>-190</c:v>
                </c:pt>
                <c:pt idx="3">
                  <c:v>-200</c:v>
                </c:pt>
                <c:pt idx="4">
                  <c:v>7</c:v>
                </c:pt>
                <c:pt idx="5">
                  <c:v>-20</c:v>
                </c:pt>
                <c:pt idx="6">
                  <c:v>50</c:v>
                </c:pt>
                <c:pt idx="7">
                  <c:v>250</c:v>
                </c:pt>
                <c:pt idx="8">
                  <c:v>-121</c:v>
                </c:pt>
                <c:pt idx="9">
                  <c:v>75</c:v>
                </c:pt>
                <c:pt idx="10">
                  <c:v>-350</c:v>
                </c:pt>
                <c:pt idx="11">
                  <c:v>-175</c:v>
                </c:pt>
                <c:pt idx="12">
                  <c:v>-60</c:v>
                </c:pt>
                <c:pt idx="13">
                  <c:v>-150</c:v>
                </c:pt>
                <c:pt idx="14">
                  <c:v>450</c:v>
                </c:pt>
                <c:pt idx="15">
                  <c:v>2500</c:v>
                </c:pt>
                <c:pt idx="16">
                  <c:v>90</c:v>
                </c:pt>
                <c:pt idx="17">
                  <c:v>18</c:v>
                </c:pt>
                <c:pt idx="18">
                  <c:v>25</c:v>
                </c:pt>
                <c:pt idx="19">
                  <c:v>-250</c:v>
                </c:pt>
                <c:pt idx="20">
                  <c:v>-40</c:v>
                </c:pt>
                <c:pt idx="21">
                  <c:v>-55</c:v>
                </c:pt>
                <c:pt idx="22">
                  <c:v>200</c:v>
                </c:pt>
                <c:pt idx="23">
                  <c:v>-40</c:v>
                </c:pt>
                <c:pt idx="24">
                  <c:v>-90</c:v>
                </c:pt>
                <c:pt idx="25">
                  <c:v>30</c:v>
                </c:pt>
                <c:pt idx="26">
                  <c:v>150</c:v>
                </c:pt>
                <c:pt idx="27">
                  <c:v>-100</c:v>
                </c:pt>
                <c:pt idx="28">
                  <c:v>-140</c:v>
                </c:pt>
                <c:pt idx="29">
                  <c:v>-80</c:v>
                </c:pt>
                <c:pt idx="30">
                  <c:v>80</c:v>
                </c:pt>
                <c:pt idx="31">
                  <c:v>20</c:v>
                </c:pt>
                <c:pt idx="32">
                  <c:v>-400</c:v>
                </c:pt>
                <c:pt idx="33">
                  <c:v>100</c:v>
                </c:pt>
                <c:pt idx="34">
                  <c:v>-150</c:v>
                </c:pt>
                <c:pt idx="35">
                  <c:v>-150</c:v>
                </c:pt>
                <c:pt idx="36">
                  <c:v>-100</c:v>
                </c:pt>
                <c:pt idx="37">
                  <c:v>-85</c:v>
                </c:pt>
                <c:pt idx="38">
                  <c:v>-100</c:v>
                </c:pt>
                <c:pt idx="39">
                  <c:v>-70</c:v>
                </c:pt>
                <c:pt idx="40">
                  <c:v>300</c:v>
                </c:pt>
                <c:pt idx="41">
                  <c:v>-160</c:v>
                </c:pt>
                <c:pt idx="42">
                  <c:v>-100</c:v>
                </c:pt>
                <c:pt idx="43">
                  <c:v>-94</c:v>
                </c:pt>
                <c:pt idx="44">
                  <c:v>5</c:v>
                </c:pt>
                <c:pt idx="45">
                  <c:v>25</c:v>
                </c:pt>
                <c:pt idx="46">
                  <c:v>-80</c:v>
                </c:pt>
                <c:pt idx="47">
                  <c:v>-62</c:v>
                </c:pt>
                <c:pt idx="48">
                  <c:v>-80</c:v>
                </c:pt>
                <c:pt idx="49">
                  <c:v>-100</c:v>
                </c:pt>
              </c:numCache>
            </c:numRef>
          </c:val>
          <c:smooth val="0"/>
          <c:extLst>
            <c:ext xmlns:c16="http://schemas.microsoft.com/office/drawing/2014/chart" uri="{C3380CC4-5D6E-409C-BE32-E72D297353CC}">
              <c16:uniqueId val="{00000000-54A4-439B-A0C7-1151D35D5E5B}"/>
            </c:ext>
          </c:extLst>
        </c:ser>
        <c:dLbls>
          <c:showLegendKey val="0"/>
          <c:showVal val="0"/>
          <c:showCatName val="0"/>
          <c:showSerName val="0"/>
          <c:showPercent val="0"/>
          <c:showBubbleSize val="0"/>
        </c:dLbls>
        <c:marker val="1"/>
        <c:smooth val="0"/>
        <c:axId val="1884932239"/>
        <c:axId val="1884918799"/>
      </c:lineChart>
      <c:catAx>
        <c:axId val="188493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18799"/>
        <c:crosses val="autoZero"/>
        <c:auto val="1"/>
        <c:lblAlgn val="ctr"/>
        <c:lblOffset val="100"/>
        <c:noMultiLvlLbl val="0"/>
      </c:catAx>
      <c:valAx>
        <c:axId val="1884918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32239"/>
        <c:crosses val="autoZero"/>
        <c:crossBetween val="between"/>
      </c:valAx>
      <c:spPr>
        <a:noFill/>
        <a:ln>
          <a:noFill/>
        </a:ln>
        <a:effectLst/>
      </c:spPr>
    </c:plotArea>
    <c:legend>
      <c:legendPos val="r"/>
      <c:layout>
        <c:manualLayout>
          <c:xMode val="edge"/>
          <c:yMode val="edge"/>
          <c:x val="0.84438845144356967"/>
          <c:y val="0.40848352289297163"/>
          <c:w val="0.13894488188976378"/>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[Nifty50.xlsx]Pivot Table!PivotTable1</c:name>
    <c:fmtId val="1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c:f>
              <c:strCache>
                <c:ptCount val="1"/>
                <c:pt idx="0">
                  <c:v>Sum of Intraday BUY value</c:v>
                </c:pt>
              </c:strCache>
            </c:strRef>
          </c:tx>
          <c:spPr>
            <a:solidFill>
              <a:schemeClr val="accent1"/>
            </a:solidFill>
            <a:ln>
              <a:noFill/>
            </a:ln>
            <a:effectLst/>
            <a:sp3d/>
          </c:spPr>
          <c:invertIfNegative val="0"/>
          <c:cat>
            <c:strRef>
              <c:f>'Pivot Table'!$A$5:$A$55</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Table'!$B$5:$B$55</c:f>
              <c:numCache>
                <c:formatCode>General</c:formatCode>
                <c:ptCount val="50"/>
                <c:pt idx="0">
                  <c:v>3750</c:v>
                </c:pt>
                <c:pt idx="1">
                  <c:v>2750</c:v>
                </c:pt>
                <c:pt idx="2">
                  <c:v>7612</c:v>
                </c:pt>
                <c:pt idx="3">
                  <c:v>4500</c:v>
                </c:pt>
                <c:pt idx="4">
                  <c:v>6025</c:v>
                </c:pt>
                <c:pt idx="5">
                  <c:v>8995</c:v>
                </c:pt>
                <c:pt idx="6">
                  <c:v>3460</c:v>
                </c:pt>
                <c:pt idx="7">
                  <c:v>8700</c:v>
                </c:pt>
                <c:pt idx="8">
                  <c:v>8240</c:v>
                </c:pt>
                <c:pt idx="9">
                  <c:v>27300</c:v>
                </c:pt>
                <c:pt idx="10">
                  <c:v>6220</c:v>
                </c:pt>
                <c:pt idx="11">
                  <c:v>22200</c:v>
                </c:pt>
                <c:pt idx="12">
                  <c:v>6505</c:v>
                </c:pt>
                <c:pt idx="13">
                  <c:v>6900</c:v>
                </c:pt>
                <c:pt idx="14">
                  <c:v>11800</c:v>
                </c:pt>
                <c:pt idx="15">
                  <c:v>13250</c:v>
                </c:pt>
                <c:pt idx="16">
                  <c:v>6900</c:v>
                </c:pt>
                <c:pt idx="17">
                  <c:v>15400</c:v>
                </c:pt>
                <c:pt idx="18">
                  <c:v>6100</c:v>
                </c:pt>
                <c:pt idx="19">
                  <c:v>8600</c:v>
                </c:pt>
                <c:pt idx="20">
                  <c:v>4240</c:v>
                </c:pt>
                <c:pt idx="21">
                  <c:v>17640</c:v>
                </c:pt>
                <c:pt idx="22">
                  <c:v>4200</c:v>
                </c:pt>
                <c:pt idx="23">
                  <c:v>12700</c:v>
                </c:pt>
                <c:pt idx="24">
                  <c:v>4380</c:v>
                </c:pt>
                <c:pt idx="25">
                  <c:v>10575</c:v>
                </c:pt>
                <c:pt idx="26">
                  <c:v>2300</c:v>
                </c:pt>
                <c:pt idx="27">
                  <c:v>36500</c:v>
                </c:pt>
                <c:pt idx="28">
                  <c:v>3630</c:v>
                </c:pt>
                <c:pt idx="29">
                  <c:v>3090</c:v>
                </c:pt>
                <c:pt idx="30">
                  <c:v>12600</c:v>
                </c:pt>
                <c:pt idx="31">
                  <c:v>4875</c:v>
                </c:pt>
                <c:pt idx="32">
                  <c:v>3600</c:v>
                </c:pt>
                <c:pt idx="33">
                  <c:v>11250</c:v>
                </c:pt>
                <c:pt idx="34">
                  <c:v>67500</c:v>
                </c:pt>
                <c:pt idx="35">
                  <c:v>43800</c:v>
                </c:pt>
                <c:pt idx="36">
                  <c:v>20700</c:v>
                </c:pt>
                <c:pt idx="37">
                  <c:v>7404</c:v>
                </c:pt>
                <c:pt idx="38">
                  <c:v>5250</c:v>
                </c:pt>
                <c:pt idx="39">
                  <c:v>9400</c:v>
                </c:pt>
                <c:pt idx="40">
                  <c:v>8950</c:v>
                </c:pt>
                <c:pt idx="41">
                  <c:v>11550</c:v>
                </c:pt>
                <c:pt idx="42">
                  <c:v>48500</c:v>
                </c:pt>
                <c:pt idx="43">
                  <c:v>2350</c:v>
                </c:pt>
                <c:pt idx="44">
                  <c:v>6950</c:v>
                </c:pt>
                <c:pt idx="45">
                  <c:v>4005</c:v>
                </c:pt>
                <c:pt idx="46">
                  <c:v>6240</c:v>
                </c:pt>
                <c:pt idx="47">
                  <c:v>7000</c:v>
                </c:pt>
                <c:pt idx="48">
                  <c:v>11100</c:v>
                </c:pt>
                <c:pt idx="49">
                  <c:v>104500</c:v>
                </c:pt>
              </c:numCache>
            </c:numRef>
          </c:val>
          <c:extLst>
            <c:ext xmlns:c16="http://schemas.microsoft.com/office/drawing/2014/chart" uri="{C3380CC4-5D6E-409C-BE32-E72D297353CC}">
              <c16:uniqueId val="{00000000-F8A3-4E2A-89F4-BDEAB6E6A67B}"/>
            </c:ext>
          </c:extLst>
        </c:ser>
        <c:ser>
          <c:idx val="1"/>
          <c:order val="1"/>
          <c:tx>
            <c:strRef>
              <c:f>'Pivot Table'!$C$4</c:f>
              <c:strCache>
                <c:ptCount val="1"/>
                <c:pt idx="0">
                  <c:v>Sum of Intraday SELL value</c:v>
                </c:pt>
              </c:strCache>
            </c:strRef>
          </c:tx>
          <c:spPr>
            <a:solidFill>
              <a:schemeClr val="accent2"/>
            </a:solidFill>
            <a:ln>
              <a:noFill/>
            </a:ln>
            <a:effectLst/>
            <a:sp3d/>
          </c:spPr>
          <c:invertIfNegative val="0"/>
          <c:cat>
            <c:strRef>
              <c:f>'Pivot Table'!$A$5:$A$55</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Table'!$C$5:$C$55</c:f>
              <c:numCache>
                <c:formatCode>General</c:formatCode>
                <c:ptCount val="50"/>
                <c:pt idx="0">
                  <c:v>3650</c:v>
                </c:pt>
                <c:pt idx="1">
                  <c:v>2670</c:v>
                </c:pt>
                <c:pt idx="2">
                  <c:v>7550</c:v>
                </c:pt>
                <c:pt idx="3">
                  <c:v>4420</c:v>
                </c:pt>
                <c:pt idx="4">
                  <c:v>6050</c:v>
                </c:pt>
                <c:pt idx="5">
                  <c:v>9000</c:v>
                </c:pt>
                <c:pt idx="6">
                  <c:v>3366</c:v>
                </c:pt>
                <c:pt idx="7">
                  <c:v>8600</c:v>
                </c:pt>
                <c:pt idx="8">
                  <c:v>8080</c:v>
                </c:pt>
                <c:pt idx="9">
                  <c:v>27600</c:v>
                </c:pt>
                <c:pt idx="10">
                  <c:v>6150</c:v>
                </c:pt>
                <c:pt idx="11">
                  <c:v>22100</c:v>
                </c:pt>
                <c:pt idx="12">
                  <c:v>6420</c:v>
                </c:pt>
                <c:pt idx="13">
                  <c:v>6800</c:v>
                </c:pt>
                <c:pt idx="14">
                  <c:v>11650</c:v>
                </c:pt>
                <c:pt idx="15">
                  <c:v>13100</c:v>
                </c:pt>
                <c:pt idx="16">
                  <c:v>7000</c:v>
                </c:pt>
                <c:pt idx="17">
                  <c:v>15000</c:v>
                </c:pt>
                <c:pt idx="18">
                  <c:v>6120</c:v>
                </c:pt>
                <c:pt idx="19">
                  <c:v>8680</c:v>
                </c:pt>
                <c:pt idx="20">
                  <c:v>4160</c:v>
                </c:pt>
                <c:pt idx="21">
                  <c:v>17500</c:v>
                </c:pt>
                <c:pt idx="22">
                  <c:v>4100</c:v>
                </c:pt>
                <c:pt idx="23">
                  <c:v>12850</c:v>
                </c:pt>
                <c:pt idx="24">
                  <c:v>4410</c:v>
                </c:pt>
                <c:pt idx="25">
                  <c:v>10485</c:v>
                </c:pt>
                <c:pt idx="26">
                  <c:v>2260</c:v>
                </c:pt>
                <c:pt idx="27">
                  <c:v>36700</c:v>
                </c:pt>
                <c:pt idx="28">
                  <c:v>3575</c:v>
                </c:pt>
                <c:pt idx="29">
                  <c:v>3050</c:v>
                </c:pt>
                <c:pt idx="30">
                  <c:v>12350</c:v>
                </c:pt>
                <c:pt idx="31">
                  <c:v>4900</c:v>
                </c:pt>
                <c:pt idx="32">
                  <c:v>3618</c:v>
                </c:pt>
                <c:pt idx="33">
                  <c:v>11340</c:v>
                </c:pt>
                <c:pt idx="34">
                  <c:v>70000</c:v>
                </c:pt>
                <c:pt idx="35">
                  <c:v>44250</c:v>
                </c:pt>
                <c:pt idx="36">
                  <c:v>20550</c:v>
                </c:pt>
                <c:pt idx="37">
                  <c:v>7344</c:v>
                </c:pt>
                <c:pt idx="38">
                  <c:v>5075</c:v>
                </c:pt>
                <c:pt idx="39">
                  <c:v>9050</c:v>
                </c:pt>
                <c:pt idx="40">
                  <c:v>9025</c:v>
                </c:pt>
                <c:pt idx="41">
                  <c:v>11429</c:v>
                </c:pt>
                <c:pt idx="42">
                  <c:v>48750</c:v>
                </c:pt>
                <c:pt idx="43">
                  <c:v>2400</c:v>
                </c:pt>
                <c:pt idx="44">
                  <c:v>6930</c:v>
                </c:pt>
                <c:pt idx="45">
                  <c:v>4012</c:v>
                </c:pt>
                <c:pt idx="46">
                  <c:v>6040</c:v>
                </c:pt>
                <c:pt idx="47">
                  <c:v>6810</c:v>
                </c:pt>
                <c:pt idx="48">
                  <c:v>11115</c:v>
                </c:pt>
                <c:pt idx="49">
                  <c:v>105325</c:v>
                </c:pt>
              </c:numCache>
            </c:numRef>
          </c:val>
          <c:extLst>
            <c:ext xmlns:c16="http://schemas.microsoft.com/office/drawing/2014/chart" uri="{C3380CC4-5D6E-409C-BE32-E72D297353CC}">
              <c16:uniqueId val="{00000001-F8A3-4E2A-89F4-BDEAB6E6A67B}"/>
            </c:ext>
          </c:extLst>
        </c:ser>
        <c:dLbls>
          <c:showLegendKey val="0"/>
          <c:showVal val="0"/>
          <c:showCatName val="0"/>
          <c:showSerName val="0"/>
          <c:showPercent val="0"/>
          <c:showBubbleSize val="0"/>
        </c:dLbls>
        <c:gapWidth val="150"/>
        <c:shape val="box"/>
        <c:axId val="581125343"/>
        <c:axId val="581125823"/>
        <c:axId val="0"/>
      </c:bar3DChart>
      <c:catAx>
        <c:axId val="581125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125823"/>
        <c:crosses val="autoZero"/>
        <c:auto val="1"/>
        <c:lblAlgn val="ctr"/>
        <c:lblOffset val="100"/>
        <c:noMultiLvlLbl val="0"/>
      </c:catAx>
      <c:valAx>
        <c:axId val="58112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12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[Nifty50.xlsx]Pivot 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c:f>
              <c:strCache>
                <c:ptCount val="1"/>
                <c:pt idx="0">
                  <c:v>Sum of Expected Target Price</c:v>
                </c:pt>
              </c:strCache>
            </c:strRef>
          </c:tx>
          <c:spPr>
            <a:solidFill>
              <a:schemeClr val="accent1"/>
            </a:solidFill>
            <a:ln>
              <a:noFill/>
            </a:ln>
            <a:effectLst/>
          </c:spPr>
          <c:invertIfNegative val="0"/>
          <c:cat>
            <c:strRef>
              <c:f>'Pivot Table'!$F$4:$F$54</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Table'!$G$4:$G$54</c:f>
              <c:numCache>
                <c:formatCode>#,##0.00</c:formatCode>
                <c:ptCount val="50"/>
                <c:pt idx="0">
                  <c:v>2188.8000000000002</c:v>
                </c:pt>
                <c:pt idx="1">
                  <c:v>1554.2840000000001</c:v>
                </c:pt>
                <c:pt idx="2">
                  <c:v>9358.2800000000007</c:v>
                </c:pt>
                <c:pt idx="3">
                  <c:v>2540.58</c:v>
                </c:pt>
                <c:pt idx="4">
                  <c:v>1396.4079999999999</c:v>
                </c:pt>
                <c:pt idx="5">
                  <c:v>10588.025</c:v>
                </c:pt>
                <c:pt idx="6">
                  <c:v>2237.0039999999999</c:v>
                </c:pt>
                <c:pt idx="7">
                  <c:v>1075.0550000000001</c:v>
                </c:pt>
                <c:pt idx="8">
                  <c:v>462.78300000000002</c:v>
                </c:pt>
                <c:pt idx="9">
                  <c:v>2312.5</c:v>
                </c:pt>
                <c:pt idx="10">
                  <c:v>1639.44</c:v>
                </c:pt>
                <c:pt idx="11">
                  <c:v>534.12</c:v>
                </c:pt>
                <c:pt idx="12">
                  <c:v>1665.4299999999998</c:v>
                </c:pt>
                <c:pt idx="13">
                  <c:v>8158.8</c:v>
                </c:pt>
                <c:pt idx="14">
                  <c:v>297.86880000000002</c:v>
                </c:pt>
                <c:pt idx="15">
                  <c:v>3170.52</c:v>
                </c:pt>
                <c:pt idx="16">
                  <c:v>1604.9179999999999</c:v>
                </c:pt>
                <c:pt idx="17">
                  <c:v>909.54000000000008</c:v>
                </c:pt>
                <c:pt idx="18">
                  <c:v>733.07999999999993</c:v>
                </c:pt>
                <c:pt idx="19">
                  <c:v>1089.9000000000001</c:v>
                </c:pt>
                <c:pt idx="20">
                  <c:v>2593.75</c:v>
                </c:pt>
                <c:pt idx="21">
                  <c:v>1423.585</c:v>
                </c:pt>
                <c:pt idx="22">
                  <c:v>4717.4150000000009</c:v>
                </c:pt>
                <c:pt idx="23">
                  <c:v>1647.75</c:v>
                </c:pt>
                <c:pt idx="24">
                  <c:v>353.46000000000004</c:v>
                </c:pt>
                <c:pt idx="25">
                  <c:v>287.68</c:v>
                </c:pt>
                <c:pt idx="26">
                  <c:v>1333.5179999999998</c:v>
                </c:pt>
                <c:pt idx="27">
                  <c:v>411.20799999999997</c:v>
                </c:pt>
                <c:pt idx="28">
                  <c:v>4998</c:v>
                </c:pt>
                <c:pt idx="29">
                  <c:v>3713.68</c:v>
                </c:pt>
                <c:pt idx="30">
                  <c:v>14520.87</c:v>
                </c:pt>
                <c:pt idx="31">
                  <c:v>1152.8599999999999</c:v>
                </c:pt>
                <c:pt idx="32">
                  <c:v>1492.625</c:v>
                </c:pt>
                <c:pt idx="33">
                  <c:v>451.8</c:v>
                </c:pt>
                <c:pt idx="34">
                  <c:v>337.32000000000005</c:v>
                </c:pt>
                <c:pt idx="35">
                  <c:v>340.05500000000001</c:v>
                </c:pt>
                <c:pt idx="36">
                  <c:v>1752.4</c:v>
                </c:pt>
                <c:pt idx="37">
                  <c:v>2341.3760000000002</c:v>
                </c:pt>
                <c:pt idx="38">
                  <c:v>1324.96</c:v>
                </c:pt>
                <c:pt idx="39">
                  <c:v>1020.39</c:v>
                </c:pt>
                <c:pt idx="40">
                  <c:v>2188.6799999999998</c:v>
                </c:pt>
                <c:pt idx="41">
                  <c:v>1304.625</c:v>
                </c:pt>
                <c:pt idx="42">
                  <c:v>237.62369999999999</c:v>
                </c:pt>
                <c:pt idx="43">
                  <c:v>2984.375</c:v>
                </c:pt>
                <c:pt idx="44">
                  <c:v>1664.04</c:v>
                </c:pt>
                <c:pt idx="45">
                  <c:v>5296.1930000000002</c:v>
                </c:pt>
                <c:pt idx="46">
                  <c:v>380.89800000000002</c:v>
                </c:pt>
                <c:pt idx="47">
                  <c:v>4426.5</c:v>
                </c:pt>
                <c:pt idx="48">
                  <c:v>13320</c:v>
                </c:pt>
                <c:pt idx="49">
                  <c:v>239.1875</c:v>
                </c:pt>
              </c:numCache>
            </c:numRef>
          </c:val>
          <c:extLst>
            <c:ext xmlns:c16="http://schemas.microsoft.com/office/drawing/2014/chart" uri="{C3380CC4-5D6E-409C-BE32-E72D297353CC}">
              <c16:uniqueId val="{00000000-007B-4129-83F7-6E11F1BAED68}"/>
            </c:ext>
          </c:extLst>
        </c:ser>
        <c:ser>
          <c:idx val="1"/>
          <c:order val="1"/>
          <c:tx>
            <c:strRef>
              <c:f>'Pivot Table'!$H$3</c:f>
              <c:strCache>
                <c:ptCount val="1"/>
                <c:pt idx="0">
                  <c:v>Sum of LTP 
</c:v>
                </c:pt>
              </c:strCache>
            </c:strRef>
          </c:tx>
          <c:spPr>
            <a:solidFill>
              <a:schemeClr val="accent2"/>
            </a:solidFill>
            <a:ln>
              <a:noFill/>
            </a:ln>
            <a:effectLst/>
          </c:spPr>
          <c:invertIfNegative val="0"/>
          <c:cat>
            <c:strRef>
              <c:f>'Pivot Table'!$F$4:$F$54</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Table'!$H$4:$H$54</c:f>
              <c:numCache>
                <c:formatCode>General</c:formatCode>
                <c:ptCount val="50"/>
                <c:pt idx="0">
                  <c:v>1824</c:v>
                </c:pt>
                <c:pt idx="1">
                  <c:v>1339.9</c:v>
                </c:pt>
                <c:pt idx="2">
                  <c:v>7547</c:v>
                </c:pt>
                <c:pt idx="3">
                  <c:v>2209.1999999999998</c:v>
                </c:pt>
                <c:pt idx="4">
                  <c:v>1203.8</c:v>
                </c:pt>
                <c:pt idx="5">
                  <c:v>8897.5</c:v>
                </c:pt>
                <c:pt idx="6">
                  <c:v>1694.7</c:v>
                </c:pt>
                <c:pt idx="7">
                  <c:v>846.5</c:v>
                </c:pt>
                <c:pt idx="8">
                  <c:v>405.95</c:v>
                </c:pt>
                <c:pt idx="9">
                  <c:v>1850</c:v>
                </c:pt>
                <c:pt idx="10">
                  <c:v>1242</c:v>
                </c:pt>
                <c:pt idx="11">
                  <c:v>445.1</c:v>
                </c:pt>
                <c:pt idx="12">
                  <c:v>1281.0999999999999</c:v>
                </c:pt>
                <c:pt idx="13">
                  <c:v>6799</c:v>
                </c:pt>
                <c:pt idx="14">
                  <c:v>232.71</c:v>
                </c:pt>
                <c:pt idx="15">
                  <c:v>2642.1</c:v>
                </c:pt>
                <c:pt idx="16">
                  <c:v>1360.1</c:v>
                </c:pt>
                <c:pt idx="17">
                  <c:v>757.95</c:v>
                </c:pt>
                <c:pt idx="18">
                  <c:v>610.9</c:v>
                </c:pt>
                <c:pt idx="19">
                  <c:v>865</c:v>
                </c:pt>
                <c:pt idx="20">
                  <c:v>2075</c:v>
                </c:pt>
                <c:pt idx="21">
                  <c:v>1237.9000000000001</c:v>
                </c:pt>
                <c:pt idx="22">
                  <c:v>4102.1000000000004</c:v>
                </c:pt>
                <c:pt idx="23">
                  <c:v>1267.5</c:v>
                </c:pt>
                <c:pt idx="24">
                  <c:v>294.55</c:v>
                </c:pt>
                <c:pt idx="25">
                  <c:v>232</c:v>
                </c:pt>
                <c:pt idx="26">
                  <c:v>1130.0999999999999</c:v>
                </c:pt>
                <c:pt idx="27">
                  <c:v>367.15</c:v>
                </c:pt>
                <c:pt idx="28">
                  <c:v>3570</c:v>
                </c:pt>
                <c:pt idx="29">
                  <c:v>3044</c:v>
                </c:pt>
                <c:pt idx="30">
                  <c:v>12411</c:v>
                </c:pt>
                <c:pt idx="31">
                  <c:v>977</c:v>
                </c:pt>
                <c:pt idx="32">
                  <c:v>1194.0999999999999</c:v>
                </c:pt>
                <c:pt idx="33">
                  <c:v>376.5</c:v>
                </c:pt>
                <c:pt idx="34">
                  <c:v>281.10000000000002</c:v>
                </c:pt>
                <c:pt idx="35">
                  <c:v>295.7</c:v>
                </c:pt>
                <c:pt idx="36">
                  <c:v>1348</c:v>
                </c:pt>
                <c:pt idx="37">
                  <c:v>1829.2</c:v>
                </c:pt>
                <c:pt idx="38">
                  <c:v>1019.2</c:v>
                </c:pt>
                <c:pt idx="39">
                  <c:v>903</c:v>
                </c:pt>
                <c:pt idx="40">
                  <c:v>1794</c:v>
                </c:pt>
                <c:pt idx="41">
                  <c:v>1043.7</c:v>
                </c:pt>
                <c:pt idx="42">
                  <c:v>193.19</c:v>
                </c:pt>
                <c:pt idx="43">
                  <c:v>2387.5</c:v>
                </c:pt>
                <c:pt idx="44">
                  <c:v>1386.7</c:v>
                </c:pt>
                <c:pt idx="45">
                  <c:v>3982.1</c:v>
                </c:pt>
                <c:pt idx="46">
                  <c:v>302.3</c:v>
                </c:pt>
                <c:pt idx="47">
                  <c:v>3405</c:v>
                </c:pt>
                <c:pt idx="48">
                  <c:v>11100</c:v>
                </c:pt>
                <c:pt idx="49">
                  <c:v>191.35</c:v>
                </c:pt>
              </c:numCache>
            </c:numRef>
          </c:val>
          <c:extLst>
            <c:ext xmlns:c16="http://schemas.microsoft.com/office/drawing/2014/chart" uri="{C3380CC4-5D6E-409C-BE32-E72D297353CC}">
              <c16:uniqueId val="{00000001-007B-4129-83F7-6E11F1BAED68}"/>
            </c:ext>
          </c:extLst>
        </c:ser>
        <c:ser>
          <c:idx val="2"/>
          <c:order val="2"/>
          <c:tx>
            <c:strRef>
              <c:f>'Pivot Table'!$I$3</c:f>
              <c:strCache>
                <c:ptCount val="1"/>
                <c:pt idx="0">
                  <c:v>Sum of Target Diff</c:v>
                </c:pt>
              </c:strCache>
            </c:strRef>
          </c:tx>
          <c:spPr>
            <a:solidFill>
              <a:schemeClr val="accent3"/>
            </a:solidFill>
            <a:ln>
              <a:noFill/>
            </a:ln>
            <a:effectLst/>
          </c:spPr>
          <c:invertIfNegative val="0"/>
          <c:cat>
            <c:strRef>
              <c:f>'Pivot Table'!$F$4:$F$54</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Table'!$I$4:$I$54</c:f>
              <c:numCache>
                <c:formatCode>0.00%</c:formatCode>
                <c:ptCount val="50"/>
                <c:pt idx="0">
                  <c:v>1.5213495638422583E-2</c:v>
                </c:pt>
                <c:pt idx="1">
                  <c:v>8.9405977218957981E-3</c:v>
                </c:pt>
                <c:pt idx="2">
                  <c:v>7.5537007620510022E-2</c:v>
                </c:pt>
                <c:pt idx="3">
                  <c:v>1.3819759278126301E-2</c:v>
                </c:pt>
                <c:pt idx="4">
                  <c:v>8.0324587936548703E-3</c:v>
                </c:pt>
                <c:pt idx="5">
                  <c:v>7.0501082001492146E-2</c:v>
                </c:pt>
                <c:pt idx="6">
                  <c:v>2.2616062331960306E-2</c:v>
                </c:pt>
                <c:pt idx="7">
                  <c:v>9.531580306029807E-3</c:v>
                </c:pt>
                <c:pt idx="8">
                  <c:v>2.3701441820681763E-3</c:v>
                </c:pt>
                <c:pt idx="9">
                  <c:v>1.9287943346410208E-2</c:v>
                </c:pt>
                <c:pt idx="10">
                  <c:v>1.6574703142913025E-2</c:v>
                </c:pt>
                <c:pt idx="11">
                  <c:v>3.7124599279944586E-3</c:v>
                </c:pt>
                <c:pt idx="12">
                  <c:v>1.6027968143407213E-2</c:v>
                </c:pt>
                <c:pt idx="13">
                  <c:v>5.6708638621510501E-2</c:v>
                </c:pt>
                <c:pt idx="14">
                  <c:v>2.7173605252325921E-3</c:v>
                </c:pt>
                <c:pt idx="15">
                  <c:v>2.2037048698616394E-2</c:v>
                </c:pt>
                <c:pt idx="16">
                  <c:v>1.0209806949581523E-2</c:v>
                </c:pt>
                <c:pt idx="17">
                  <c:v>6.3218580148806996E-3</c:v>
                </c:pt>
                <c:pt idx="18">
                  <c:v>5.0953533363554586E-3</c:v>
                </c:pt>
                <c:pt idx="19">
                  <c:v>9.379153424016554E-3</c:v>
                </c:pt>
                <c:pt idx="20">
                  <c:v>2.1633774293946587E-2</c:v>
                </c:pt>
                <c:pt idx="21">
                  <c:v>7.7437443465474152E-3</c:v>
                </c:pt>
                <c:pt idx="22">
                  <c:v>2.5660888346370592E-2</c:v>
                </c:pt>
                <c:pt idx="23">
                  <c:v>1.5857817205345907E-2</c:v>
                </c:pt>
                <c:pt idx="24">
                  <c:v>2.4567626865665418E-3</c:v>
                </c:pt>
                <c:pt idx="25">
                  <c:v>2.3220598606013415E-3</c:v>
                </c:pt>
                <c:pt idx="26">
                  <c:v>8.4832753721947492E-3</c:v>
                </c:pt>
                <c:pt idx="27">
                  <c:v>1.8373799090943587E-3</c:v>
                </c:pt>
                <c:pt idx="28">
                  <c:v>5.9552828321456822E-2</c:v>
                </c:pt>
                <c:pt idx="29">
                  <c:v>2.7928107892376191E-2</c:v>
                </c:pt>
                <c:pt idx="30">
                  <c:v>8.798930384495246E-2</c:v>
                </c:pt>
                <c:pt idx="31">
                  <c:v>7.3340058743777276E-3</c:v>
                </c:pt>
                <c:pt idx="32">
                  <c:v>1.244958548645861E-2</c:v>
                </c:pt>
                <c:pt idx="33">
                  <c:v>3.1402856951020298E-3</c:v>
                </c:pt>
                <c:pt idx="34">
                  <c:v>2.344579837697691E-3</c:v>
                </c:pt>
                <c:pt idx="35">
                  <c:v>1.8497658964973509E-3</c:v>
                </c:pt>
                <c:pt idx="36">
                  <c:v>1.6864960625488191E-2</c:v>
                </c:pt>
                <c:pt idx="37">
                  <c:v>2.1359614424629182E-2</c:v>
                </c:pt>
                <c:pt idx="38">
                  <c:v>1.2751311475888401E-2</c:v>
                </c:pt>
                <c:pt idx="39">
                  <c:v>4.895592798778583E-3</c:v>
                </c:pt>
                <c:pt idx="40">
                  <c:v>1.6459601037753905E-2</c:v>
                </c:pt>
                <c:pt idx="41">
                  <c:v>1.0881527821972074E-2</c:v>
                </c:pt>
                <c:pt idx="42">
                  <c:v>1.8530479746408375E-3</c:v>
                </c:pt>
                <c:pt idx="43">
                  <c:v>2.4891872832191554E-2</c:v>
                </c:pt>
                <c:pt idx="44">
                  <c:v>1.1566093422039802E-2</c:v>
                </c:pt>
                <c:pt idx="45">
                  <c:v>5.4802489374949692E-2</c:v>
                </c:pt>
                <c:pt idx="46">
                  <c:v>3.277824370034918E-3</c:v>
                </c:pt>
                <c:pt idx="47">
                  <c:v>4.2600290007260601E-2</c:v>
                </c:pt>
                <c:pt idx="48">
                  <c:v>9.2582128062768998E-2</c:v>
                </c:pt>
                <c:pt idx="49">
                  <c:v>1.9949988969381587E-3</c:v>
                </c:pt>
              </c:numCache>
            </c:numRef>
          </c:val>
          <c:extLst>
            <c:ext xmlns:c16="http://schemas.microsoft.com/office/drawing/2014/chart" uri="{C3380CC4-5D6E-409C-BE32-E72D297353CC}">
              <c16:uniqueId val="{00000002-007B-4129-83F7-6E11F1BAED68}"/>
            </c:ext>
          </c:extLst>
        </c:ser>
        <c:dLbls>
          <c:showLegendKey val="0"/>
          <c:showVal val="0"/>
          <c:showCatName val="0"/>
          <c:showSerName val="0"/>
          <c:showPercent val="0"/>
          <c:showBubbleSize val="0"/>
        </c:dLbls>
        <c:gapWidth val="182"/>
        <c:axId val="934718191"/>
        <c:axId val="934719151"/>
      </c:barChart>
      <c:catAx>
        <c:axId val="93471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719151"/>
        <c:crosses val="autoZero"/>
        <c:auto val="1"/>
        <c:lblAlgn val="ctr"/>
        <c:lblOffset val="100"/>
        <c:noMultiLvlLbl val="0"/>
      </c:catAx>
      <c:valAx>
        <c:axId val="9347191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7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[Nifty50.xlsx]Pivot table2!PivotTable3</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table2'!$B$1</c:f>
              <c:strCache>
                <c:ptCount val="1"/>
                <c:pt idx="0">
                  <c:v>OPEN 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table2'!$A$2:$A$52</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table2'!$B$2:$B$52</c:f>
              <c:numCache>
                <c:formatCode>General</c:formatCode>
                <c:ptCount val="50"/>
                <c:pt idx="0">
                  <c:v>1880</c:v>
                </c:pt>
                <c:pt idx="1">
                  <c:v>1375</c:v>
                </c:pt>
                <c:pt idx="2">
                  <c:v>7510</c:v>
                </c:pt>
                <c:pt idx="3">
                  <c:v>2246.3000000000002</c:v>
                </c:pt>
                <c:pt idx="4">
                  <c:v>1209.5</c:v>
                </c:pt>
                <c:pt idx="5">
                  <c:v>8971.5</c:v>
                </c:pt>
                <c:pt idx="6">
                  <c:v>1738.6</c:v>
                </c:pt>
                <c:pt idx="7">
                  <c:v>875</c:v>
                </c:pt>
                <c:pt idx="8">
                  <c:v>411.9</c:v>
                </c:pt>
                <c:pt idx="9">
                  <c:v>1839.9</c:v>
                </c:pt>
                <c:pt idx="10">
                  <c:v>1226.5</c:v>
                </c:pt>
                <c:pt idx="11">
                  <c:v>446</c:v>
                </c:pt>
                <c:pt idx="12">
                  <c:v>1297</c:v>
                </c:pt>
                <c:pt idx="13">
                  <c:v>6915</c:v>
                </c:pt>
                <c:pt idx="14">
                  <c:v>237.55</c:v>
                </c:pt>
                <c:pt idx="15">
                  <c:v>2651</c:v>
                </c:pt>
                <c:pt idx="16">
                  <c:v>1377</c:v>
                </c:pt>
                <c:pt idx="17">
                  <c:v>773.2</c:v>
                </c:pt>
                <c:pt idx="18">
                  <c:v>605</c:v>
                </c:pt>
                <c:pt idx="19">
                  <c:v>860</c:v>
                </c:pt>
                <c:pt idx="20">
                  <c:v>2123.3000000000002</c:v>
                </c:pt>
                <c:pt idx="21">
                  <c:v>1256</c:v>
                </c:pt>
                <c:pt idx="22">
                  <c:v>4251</c:v>
                </c:pt>
                <c:pt idx="23">
                  <c:v>1285.2</c:v>
                </c:pt>
                <c:pt idx="24">
                  <c:v>294.7</c:v>
                </c:pt>
                <c:pt idx="25">
                  <c:v>236</c:v>
                </c:pt>
                <c:pt idx="26">
                  <c:v>1150</c:v>
                </c:pt>
                <c:pt idx="27">
                  <c:v>367.55</c:v>
                </c:pt>
                <c:pt idx="28">
                  <c:v>3640</c:v>
                </c:pt>
                <c:pt idx="29">
                  <c:v>3100</c:v>
                </c:pt>
                <c:pt idx="30">
                  <c:v>12626</c:v>
                </c:pt>
                <c:pt idx="31">
                  <c:v>978.1</c:v>
                </c:pt>
                <c:pt idx="32">
                  <c:v>1204.0999999999999</c:v>
                </c:pt>
                <c:pt idx="33">
                  <c:v>379.9</c:v>
                </c:pt>
                <c:pt idx="34">
                  <c:v>270.5</c:v>
                </c:pt>
                <c:pt idx="35">
                  <c:v>294.45</c:v>
                </c:pt>
                <c:pt idx="36">
                  <c:v>1401</c:v>
                </c:pt>
                <c:pt idx="37">
                  <c:v>1835.2</c:v>
                </c:pt>
                <c:pt idx="38">
                  <c:v>1051.3</c:v>
                </c:pt>
                <c:pt idx="39">
                  <c:v>950</c:v>
                </c:pt>
                <c:pt idx="40">
                  <c:v>1785</c:v>
                </c:pt>
                <c:pt idx="41">
                  <c:v>1049.3</c:v>
                </c:pt>
                <c:pt idx="42">
                  <c:v>194.32</c:v>
                </c:pt>
                <c:pt idx="43">
                  <c:v>2403.9</c:v>
                </c:pt>
                <c:pt idx="44">
                  <c:v>1395</c:v>
                </c:pt>
                <c:pt idx="45">
                  <c:v>4000</c:v>
                </c:pt>
                <c:pt idx="46">
                  <c:v>312.5</c:v>
                </c:pt>
                <c:pt idx="47">
                  <c:v>3451</c:v>
                </c:pt>
                <c:pt idx="48">
                  <c:v>11174</c:v>
                </c:pt>
                <c:pt idx="49">
                  <c:v>189.05</c:v>
                </c:pt>
              </c:numCache>
            </c:numRef>
          </c:val>
          <c:smooth val="0"/>
          <c:extLst>
            <c:ext xmlns:c16="http://schemas.microsoft.com/office/drawing/2014/chart" uri="{C3380CC4-5D6E-409C-BE32-E72D297353CC}">
              <c16:uniqueId val="{00000000-ED95-4E96-A355-7E59DA30757B}"/>
            </c:ext>
          </c:extLst>
        </c:ser>
        <c:ser>
          <c:idx val="1"/>
          <c:order val="1"/>
          <c:tx>
            <c:strRef>
              <c:f>'Pivot table2'!$C$1</c:f>
              <c:strCache>
                <c:ptCount val="1"/>
                <c:pt idx="0">
                  <c:v>DAY HIGH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table2'!$A$2:$A$52</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table2'!$C$2:$C$52</c:f>
              <c:numCache>
                <c:formatCode>General</c:formatCode>
                <c:ptCount val="50"/>
                <c:pt idx="0">
                  <c:v>1883.2</c:v>
                </c:pt>
                <c:pt idx="1">
                  <c:v>1375</c:v>
                </c:pt>
                <c:pt idx="2">
                  <c:v>7621</c:v>
                </c:pt>
                <c:pt idx="3">
                  <c:v>2269</c:v>
                </c:pt>
                <c:pt idx="4">
                  <c:v>1213.5</c:v>
                </c:pt>
                <c:pt idx="5">
                  <c:v>9004</c:v>
                </c:pt>
                <c:pt idx="6">
                  <c:v>1738.6</c:v>
                </c:pt>
                <c:pt idx="7">
                  <c:v>875.15</c:v>
                </c:pt>
                <c:pt idx="8">
                  <c:v>413.45</c:v>
                </c:pt>
                <c:pt idx="9">
                  <c:v>1856.9</c:v>
                </c:pt>
                <c:pt idx="10">
                  <c:v>1249.2</c:v>
                </c:pt>
                <c:pt idx="11">
                  <c:v>448.5</c:v>
                </c:pt>
                <c:pt idx="12">
                  <c:v>1302.9000000000001</c:v>
                </c:pt>
                <c:pt idx="13">
                  <c:v>6916.5</c:v>
                </c:pt>
                <c:pt idx="14">
                  <c:v>239.14</c:v>
                </c:pt>
                <c:pt idx="15">
                  <c:v>2655</c:v>
                </c:pt>
                <c:pt idx="16">
                  <c:v>1407.4</c:v>
                </c:pt>
                <c:pt idx="17">
                  <c:v>774.9</c:v>
                </c:pt>
                <c:pt idx="18">
                  <c:v>612.45000000000005</c:v>
                </c:pt>
                <c:pt idx="19">
                  <c:v>872.95</c:v>
                </c:pt>
                <c:pt idx="20">
                  <c:v>2127</c:v>
                </c:pt>
                <c:pt idx="21">
                  <c:v>1260.9000000000001</c:v>
                </c:pt>
                <c:pt idx="22">
                  <c:v>4251</c:v>
                </c:pt>
                <c:pt idx="23">
                  <c:v>1294.8</c:v>
                </c:pt>
                <c:pt idx="24">
                  <c:v>296.85000000000002</c:v>
                </c:pt>
                <c:pt idx="25">
                  <c:v>236.5</c:v>
                </c:pt>
                <c:pt idx="26">
                  <c:v>1150.8</c:v>
                </c:pt>
                <c:pt idx="27">
                  <c:v>368.85</c:v>
                </c:pt>
                <c:pt idx="28">
                  <c:v>3640</c:v>
                </c:pt>
                <c:pt idx="29">
                  <c:v>3105.2</c:v>
                </c:pt>
                <c:pt idx="30">
                  <c:v>12646</c:v>
                </c:pt>
                <c:pt idx="31">
                  <c:v>990.8</c:v>
                </c:pt>
                <c:pt idx="32">
                  <c:v>1215.7</c:v>
                </c:pt>
                <c:pt idx="33">
                  <c:v>379.9</c:v>
                </c:pt>
                <c:pt idx="34">
                  <c:v>285</c:v>
                </c:pt>
                <c:pt idx="35">
                  <c:v>297.3</c:v>
                </c:pt>
                <c:pt idx="36">
                  <c:v>1404.7</c:v>
                </c:pt>
                <c:pt idx="37">
                  <c:v>1851.1</c:v>
                </c:pt>
                <c:pt idx="38">
                  <c:v>1055.3</c:v>
                </c:pt>
                <c:pt idx="39">
                  <c:v>951</c:v>
                </c:pt>
                <c:pt idx="40">
                  <c:v>1819</c:v>
                </c:pt>
                <c:pt idx="41">
                  <c:v>1057.5</c:v>
                </c:pt>
                <c:pt idx="42">
                  <c:v>195.5</c:v>
                </c:pt>
                <c:pt idx="43">
                  <c:v>2422.1</c:v>
                </c:pt>
                <c:pt idx="44">
                  <c:v>1421</c:v>
                </c:pt>
                <c:pt idx="45">
                  <c:v>4032.8</c:v>
                </c:pt>
                <c:pt idx="46">
                  <c:v>312.85000000000002</c:v>
                </c:pt>
                <c:pt idx="47">
                  <c:v>3505.9</c:v>
                </c:pt>
                <c:pt idx="48">
                  <c:v>11174</c:v>
                </c:pt>
                <c:pt idx="49">
                  <c:v>192.29</c:v>
                </c:pt>
              </c:numCache>
            </c:numRef>
          </c:val>
          <c:smooth val="0"/>
          <c:extLst>
            <c:ext xmlns:c16="http://schemas.microsoft.com/office/drawing/2014/chart" uri="{C3380CC4-5D6E-409C-BE32-E72D297353CC}">
              <c16:uniqueId val="{00000001-ED95-4E96-A355-7E59DA30757B}"/>
            </c:ext>
          </c:extLst>
        </c:ser>
        <c:ser>
          <c:idx val="2"/>
          <c:order val="2"/>
          <c:tx>
            <c:strRef>
              <c:f>'Pivot table2'!$D$1</c:f>
              <c:strCache>
                <c:ptCount val="1"/>
                <c:pt idx="0">
                  <c:v>DAY LOW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table2'!$A$2:$A$52</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table2'!$D$2:$D$52</c:f>
              <c:numCache>
                <c:formatCode>General</c:formatCode>
                <c:ptCount val="50"/>
                <c:pt idx="0">
                  <c:v>1816.5</c:v>
                </c:pt>
                <c:pt idx="1">
                  <c:v>1330.1</c:v>
                </c:pt>
                <c:pt idx="2">
                  <c:v>7510</c:v>
                </c:pt>
                <c:pt idx="3">
                  <c:v>2201.1</c:v>
                </c:pt>
                <c:pt idx="4">
                  <c:v>1202</c:v>
                </c:pt>
                <c:pt idx="5">
                  <c:v>8840</c:v>
                </c:pt>
                <c:pt idx="6">
                  <c:v>1680.1</c:v>
                </c:pt>
                <c:pt idx="7">
                  <c:v>841.25</c:v>
                </c:pt>
                <c:pt idx="8">
                  <c:v>403.25</c:v>
                </c:pt>
                <c:pt idx="9">
                  <c:v>1818.4</c:v>
                </c:pt>
                <c:pt idx="10">
                  <c:v>1226.5</c:v>
                </c:pt>
                <c:pt idx="11">
                  <c:v>441.05</c:v>
                </c:pt>
                <c:pt idx="12">
                  <c:v>1278.2</c:v>
                </c:pt>
                <c:pt idx="13">
                  <c:v>6742</c:v>
                </c:pt>
                <c:pt idx="14">
                  <c:v>232.4</c:v>
                </c:pt>
                <c:pt idx="15">
                  <c:v>2604.6</c:v>
                </c:pt>
                <c:pt idx="16">
                  <c:v>1359.8</c:v>
                </c:pt>
                <c:pt idx="17">
                  <c:v>754.55</c:v>
                </c:pt>
                <c:pt idx="18">
                  <c:v>600</c:v>
                </c:pt>
                <c:pt idx="19">
                  <c:v>854.75</c:v>
                </c:pt>
                <c:pt idx="20">
                  <c:v>2069.5</c:v>
                </c:pt>
                <c:pt idx="21">
                  <c:v>1230.0999999999999</c:v>
                </c:pt>
                <c:pt idx="22">
                  <c:v>4091.6</c:v>
                </c:pt>
                <c:pt idx="23">
                  <c:v>1263.2</c:v>
                </c:pt>
                <c:pt idx="24">
                  <c:v>291.55</c:v>
                </c:pt>
                <c:pt idx="25">
                  <c:v>231.55</c:v>
                </c:pt>
                <c:pt idx="26">
                  <c:v>1126.9000000000001</c:v>
                </c:pt>
                <c:pt idx="27">
                  <c:v>362.5</c:v>
                </c:pt>
                <c:pt idx="28">
                  <c:v>3547</c:v>
                </c:pt>
                <c:pt idx="29">
                  <c:v>3030</c:v>
                </c:pt>
                <c:pt idx="30">
                  <c:v>12342</c:v>
                </c:pt>
                <c:pt idx="31">
                  <c:v>970.8</c:v>
                </c:pt>
                <c:pt idx="32">
                  <c:v>1188.3</c:v>
                </c:pt>
                <c:pt idx="33">
                  <c:v>374.65</c:v>
                </c:pt>
                <c:pt idx="34">
                  <c:v>269.7</c:v>
                </c:pt>
                <c:pt idx="35">
                  <c:v>290.3</c:v>
                </c:pt>
                <c:pt idx="36">
                  <c:v>1345</c:v>
                </c:pt>
                <c:pt idx="37">
                  <c:v>1828.9</c:v>
                </c:pt>
                <c:pt idx="38">
                  <c:v>1013</c:v>
                </c:pt>
                <c:pt idx="39">
                  <c:v>900</c:v>
                </c:pt>
                <c:pt idx="40">
                  <c:v>1785</c:v>
                </c:pt>
                <c:pt idx="41">
                  <c:v>1032.7</c:v>
                </c:pt>
                <c:pt idx="42">
                  <c:v>192.64</c:v>
                </c:pt>
                <c:pt idx="43">
                  <c:v>2385</c:v>
                </c:pt>
                <c:pt idx="44">
                  <c:v>1385.5</c:v>
                </c:pt>
                <c:pt idx="45">
                  <c:v>3972</c:v>
                </c:pt>
                <c:pt idx="46">
                  <c:v>301.05</c:v>
                </c:pt>
                <c:pt idx="47">
                  <c:v>3373.6</c:v>
                </c:pt>
                <c:pt idx="48">
                  <c:v>10970</c:v>
                </c:pt>
                <c:pt idx="49">
                  <c:v>187.9</c:v>
                </c:pt>
              </c:numCache>
            </c:numRef>
          </c:val>
          <c:smooth val="0"/>
          <c:extLst>
            <c:ext xmlns:c16="http://schemas.microsoft.com/office/drawing/2014/chart" uri="{C3380CC4-5D6E-409C-BE32-E72D297353CC}">
              <c16:uniqueId val="{00000002-ED95-4E96-A355-7E59DA30757B}"/>
            </c:ext>
          </c:extLst>
        </c:ser>
        <c:dLbls>
          <c:showLegendKey val="0"/>
          <c:showVal val="0"/>
          <c:showCatName val="0"/>
          <c:showSerName val="0"/>
          <c:showPercent val="0"/>
          <c:showBubbleSize val="0"/>
        </c:dLbls>
        <c:marker val="1"/>
        <c:smooth val="0"/>
        <c:axId val="485479535"/>
        <c:axId val="485474255"/>
      </c:lineChart>
      <c:catAx>
        <c:axId val="48547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74255"/>
        <c:crosses val="autoZero"/>
        <c:auto val="1"/>
        <c:lblAlgn val="ctr"/>
        <c:lblOffset val="100"/>
        <c:noMultiLvlLbl val="0"/>
      </c:catAx>
      <c:valAx>
        <c:axId val="48547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7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[Nifty50.xlsx]Pivot table2!PivotTable4</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8693963254593177"/>
          <c:y val="0.13786818314377369"/>
          <c:w val="0.59580861767279092"/>
          <c:h val="0.56902595508894727"/>
        </c:manualLayout>
      </c:layout>
      <c:lineChart>
        <c:grouping val="standard"/>
        <c:varyColors val="0"/>
        <c:ser>
          <c:idx val="0"/>
          <c:order val="0"/>
          <c:tx>
            <c:strRef>
              <c:f>'Pivot table2'!$I$3</c:f>
              <c:strCache>
                <c:ptCount val="1"/>
                <c:pt idx="0">
                  <c:v>Sum of 52W H IGH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table2'!$H$4:$H$54</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table2'!$I$4:$I$54</c:f>
              <c:numCache>
                <c:formatCode>General</c:formatCode>
                <c:ptCount val="50"/>
                <c:pt idx="0">
                  <c:v>2616.5</c:v>
                </c:pt>
                <c:pt idx="1">
                  <c:v>1584</c:v>
                </c:pt>
                <c:pt idx="2">
                  <c:v>8099.5</c:v>
                </c:pt>
                <c:pt idx="3">
                  <c:v>2985.7</c:v>
                </c:pt>
                <c:pt idx="4">
                  <c:v>1418.3</c:v>
                </c:pt>
                <c:pt idx="5">
                  <c:v>10187</c:v>
                </c:pt>
                <c:pt idx="6">
                  <c:v>2195</c:v>
                </c:pt>
                <c:pt idx="7">
                  <c:v>1102.5</c:v>
                </c:pt>
                <c:pt idx="8">
                  <c:v>473.45</c:v>
                </c:pt>
                <c:pt idx="9">
                  <c:v>2174.5</c:v>
                </c:pt>
                <c:pt idx="10">
                  <c:v>1673</c:v>
                </c:pt>
                <c:pt idx="11">
                  <c:v>476</c:v>
                </c:pt>
                <c:pt idx="12">
                  <c:v>1379.7</c:v>
                </c:pt>
                <c:pt idx="13">
                  <c:v>8230</c:v>
                </c:pt>
                <c:pt idx="14">
                  <c:v>368.45</c:v>
                </c:pt>
                <c:pt idx="15">
                  <c:v>2979</c:v>
                </c:pt>
                <c:pt idx="16">
                  <c:v>1780.1</c:v>
                </c:pt>
                <c:pt idx="17">
                  <c:v>1020.5</c:v>
                </c:pt>
                <c:pt idx="18">
                  <c:v>820.75</c:v>
                </c:pt>
                <c:pt idx="19">
                  <c:v>1029.8</c:v>
                </c:pt>
                <c:pt idx="20">
                  <c:v>2750</c:v>
                </c:pt>
                <c:pt idx="21">
                  <c:v>1500</c:v>
                </c:pt>
                <c:pt idx="22">
                  <c:v>6232.5</c:v>
                </c:pt>
                <c:pt idx="23">
                  <c:v>1728</c:v>
                </c:pt>
                <c:pt idx="24">
                  <c:v>444.2</c:v>
                </c:pt>
                <c:pt idx="25">
                  <c:v>338.6</c:v>
                </c:pt>
                <c:pt idx="26">
                  <c:v>1284.7</c:v>
                </c:pt>
                <c:pt idx="27">
                  <c:v>460.38</c:v>
                </c:pt>
                <c:pt idx="28">
                  <c:v>4440</c:v>
                </c:pt>
                <c:pt idx="29">
                  <c:v>3839.9</c:v>
                </c:pt>
                <c:pt idx="30">
                  <c:v>17370</c:v>
                </c:pt>
                <c:pt idx="31">
                  <c:v>1314.3</c:v>
                </c:pt>
                <c:pt idx="32">
                  <c:v>1340.4</c:v>
                </c:pt>
                <c:pt idx="33">
                  <c:v>394.5</c:v>
                </c:pt>
                <c:pt idx="34">
                  <c:v>293</c:v>
                </c:pt>
                <c:pt idx="35">
                  <c:v>322</c:v>
                </c:pt>
                <c:pt idx="36">
                  <c:v>1611.8</c:v>
                </c:pt>
                <c:pt idx="37">
                  <c:v>2132</c:v>
                </c:pt>
                <c:pt idx="38">
                  <c:v>1234.7</c:v>
                </c:pt>
                <c:pt idx="39">
                  <c:v>1108</c:v>
                </c:pt>
                <c:pt idx="40">
                  <c:v>1851.2</c:v>
                </c:pt>
                <c:pt idx="41">
                  <c:v>1220.9000000000001</c:v>
                </c:pt>
                <c:pt idx="42">
                  <c:v>216.45</c:v>
                </c:pt>
                <c:pt idx="43">
                  <c:v>3663</c:v>
                </c:pt>
                <c:pt idx="44">
                  <c:v>1854</c:v>
                </c:pt>
                <c:pt idx="45">
                  <c:v>4378.3999999999996</c:v>
                </c:pt>
                <c:pt idx="46">
                  <c:v>739.7</c:v>
                </c:pt>
                <c:pt idx="47">
                  <c:v>6261</c:v>
                </c:pt>
                <c:pt idx="48">
                  <c:v>13110</c:v>
                </c:pt>
                <c:pt idx="49">
                  <c:v>274.7</c:v>
                </c:pt>
              </c:numCache>
            </c:numRef>
          </c:val>
          <c:smooth val="0"/>
          <c:extLst>
            <c:ext xmlns:c16="http://schemas.microsoft.com/office/drawing/2014/chart" uri="{C3380CC4-5D6E-409C-BE32-E72D297353CC}">
              <c16:uniqueId val="{00000038-1522-4151-B5AD-A36491C2CBA3}"/>
            </c:ext>
          </c:extLst>
        </c:ser>
        <c:ser>
          <c:idx val="1"/>
          <c:order val="1"/>
          <c:tx>
            <c:strRef>
              <c:f>'Pivot table2'!$J$3</c:f>
              <c:strCache>
                <c:ptCount val="1"/>
                <c:pt idx="0">
                  <c:v>Sum of 52W L OW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table2'!$H$4:$H$54</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table2'!$J$4:$J$54</c:f>
              <c:numCache>
                <c:formatCode>General</c:formatCode>
                <c:ptCount val="50"/>
                <c:pt idx="0">
                  <c:v>1813.7</c:v>
                </c:pt>
                <c:pt idx="1">
                  <c:v>1041.5</c:v>
                </c:pt>
                <c:pt idx="2">
                  <c:v>6430.25</c:v>
                </c:pt>
                <c:pt idx="3">
                  <c:v>2115</c:v>
                </c:pt>
                <c:pt idx="4">
                  <c:v>1032.3499999999999</c:v>
                </c:pt>
                <c:pt idx="5">
                  <c:v>7089.35</c:v>
                </c:pt>
                <c:pt idx="6">
                  <c:v>1662.7</c:v>
                </c:pt>
                <c:pt idx="7">
                  <c:v>787.9</c:v>
                </c:pt>
                <c:pt idx="8">
                  <c:v>256.2</c:v>
                </c:pt>
                <c:pt idx="9">
                  <c:v>1660</c:v>
                </c:pt>
                <c:pt idx="10">
                  <c:v>1216.5999999999999</c:v>
                </c:pt>
                <c:pt idx="11">
                  <c:v>356</c:v>
                </c:pt>
                <c:pt idx="12">
                  <c:v>1020</c:v>
                </c:pt>
                <c:pt idx="13">
                  <c:v>4999.95</c:v>
                </c:pt>
                <c:pt idx="14">
                  <c:v>194.8</c:v>
                </c:pt>
                <c:pt idx="15">
                  <c:v>2465.5</c:v>
                </c:pt>
                <c:pt idx="16">
                  <c:v>1297.7</c:v>
                </c:pt>
                <c:pt idx="17">
                  <c:v>741.05</c:v>
                </c:pt>
                <c:pt idx="18">
                  <c:v>590.04999999999995</c:v>
                </c:pt>
                <c:pt idx="19">
                  <c:v>546.45000000000005</c:v>
                </c:pt>
                <c:pt idx="20">
                  <c:v>2033.3</c:v>
                </c:pt>
                <c:pt idx="21">
                  <c:v>1218.0999999999999</c:v>
                </c:pt>
                <c:pt idx="22">
                  <c:v>3895.2</c:v>
                </c:pt>
                <c:pt idx="23">
                  <c:v>1215.0999999999999</c:v>
                </c:pt>
                <c:pt idx="24">
                  <c:v>288.75</c:v>
                </c:pt>
                <c:pt idx="25">
                  <c:v>203.1</c:v>
                </c:pt>
                <c:pt idx="26">
                  <c:v>905.2</c:v>
                </c:pt>
                <c:pt idx="27">
                  <c:v>355.25</c:v>
                </c:pt>
                <c:pt idx="28">
                  <c:v>2965.3</c:v>
                </c:pt>
                <c:pt idx="29">
                  <c:v>2425</c:v>
                </c:pt>
                <c:pt idx="30">
                  <c:v>11059.45</c:v>
                </c:pt>
                <c:pt idx="31">
                  <c:v>933.8</c:v>
                </c:pt>
                <c:pt idx="32">
                  <c:v>1074</c:v>
                </c:pt>
                <c:pt idx="33">
                  <c:v>315.55</c:v>
                </c:pt>
                <c:pt idx="34">
                  <c:v>205</c:v>
                </c:pt>
                <c:pt idx="35">
                  <c:v>250</c:v>
                </c:pt>
                <c:pt idx="36">
                  <c:v>1114.8499999999999</c:v>
                </c:pt>
                <c:pt idx="37">
                  <c:v>1430.55</c:v>
                </c:pt>
                <c:pt idx="38">
                  <c:v>730</c:v>
                </c:pt>
                <c:pt idx="39">
                  <c:v>566.5</c:v>
                </c:pt>
                <c:pt idx="40">
                  <c:v>1548</c:v>
                </c:pt>
                <c:pt idx="41">
                  <c:v>952.5</c:v>
                </c:pt>
                <c:pt idx="42">
                  <c:v>125.3</c:v>
                </c:pt>
                <c:pt idx="43">
                  <c:v>2348</c:v>
                </c:pt>
                <c:pt idx="44">
                  <c:v>1264.3499999999999</c:v>
                </c:pt>
                <c:pt idx="45">
                  <c:v>2925</c:v>
                </c:pt>
                <c:pt idx="46">
                  <c:v>301.05</c:v>
                </c:pt>
                <c:pt idx="47">
                  <c:v>3340.3</c:v>
                </c:pt>
                <c:pt idx="48">
                  <c:v>10325</c:v>
                </c:pt>
                <c:pt idx="49">
                  <c:v>187</c:v>
                </c:pt>
              </c:numCache>
            </c:numRef>
          </c:val>
          <c:smooth val="0"/>
          <c:extLst>
            <c:ext xmlns:c16="http://schemas.microsoft.com/office/drawing/2014/chart" uri="{C3380CC4-5D6E-409C-BE32-E72D297353CC}">
              <c16:uniqueId val="{0000003A-1522-4151-B5AD-A36491C2CBA3}"/>
            </c:ext>
          </c:extLst>
        </c:ser>
        <c:dLbls>
          <c:showLegendKey val="0"/>
          <c:showVal val="0"/>
          <c:showCatName val="0"/>
          <c:showSerName val="0"/>
          <c:showPercent val="0"/>
          <c:showBubbleSize val="0"/>
        </c:dLbls>
        <c:marker val="1"/>
        <c:smooth val="0"/>
        <c:axId val="1158251231"/>
        <c:axId val="1158268031"/>
      </c:lineChart>
      <c:lineChart>
        <c:grouping val="standard"/>
        <c:varyColors val="0"/>
        <c:ser>
          <c:idx val="2"/>
          <c:order val="2"/>
          <c:tx>
            <c:strRef>
              <c:f>'Pivot table2'!$K$3</c:f>
              <c:strCache>
                <c:ptCount val="1"/>
                <c:pt idx="0">
                  <c:v>Sum of LTP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table2'!$H$4:$H$54</c:f>
              <c:strCache>
                <c:ptCount val="50"/>
                <c:pt idx="0">
                  <c:v>ADANIENT</c:v>
                </c:pt>
                <c:pt idx="1">
                  <c:v>ADANIPORTS</c:v>
                </c:pt>
                <c:pt idx="2">
                  <c:v>APOLLOHOSP</c:v>
                </c:pt>
                <c:pt idx="3">
                  <c:v>ASIANPAINT</c:v>
                </c:pt>
                <c:pt idx="4">
                  <c:v>AXISBANK</c:v>
                </c:pt>
                <c:pt idx="5">
                  <c:v>BAJAJ-AUTO</c:v>
                </c:pt>
                <c:pt idx="6">
                  <c:v>BAJAJFINSV</c:v>
                </c:pt>
                <c:pt idx="7">
                  <c:v>BAJFINANCE</c:v>
                </c:pt>
                <c:pt idx="8">
                  <c:v>BEL</c:v>
                </c:pt>
                <c:pt idx="9">
                  <c:v>BHARTIARTL</c:v>
                </c:pt>
                <c:pt idx="10">
                  <c:v>CIPLA</c:v>
                </c:pt>
                <c:pt idx="11">
                  <c:v>COALINDIA</c:v>
                </c:pt>
                <c:pt idx="12">
                  <c:v>DRREDDY</c:v>
                </c:pt>
                <c:pt idx="13">
                  <c:v>EICHERMOT</c:v>
                </c:pt>
                <c:pt idx="14">
                  <c:v>ETERNAL</c:v>
                </c:pt>
                <c:pt idx="15">
                  <c:v>GRASIM</c:v>
                </c:pt>
                <c:pt idx="16">
                  <c:v>HCLTECH</c:v>
                </c:pt>
                <c:pt idx="17">
                  <c:v>HDFCBANK</c:v>
                </c:pt>
                <c:pt idx="18">
                  <c:v>HDFCLIFE</c:v>
                </c:pt>
                <c:pt idx="19">
                  <c:v>HINDALCO</c:v>
                </c:pt>
                <c:pt idx="20">
                  <c:v>HINDUNILVR</c:v>
                </c:pt>
                <c:pt idx="21">
                  <c:v>ICICIBANK</c:v>
                </c:pt>
                <c:pt idx="22">
                  <c:v>INDIGO</c:v>
                </c:pt>
                <c:pt idx="23">
                  <c:v>INFY</c:v>
                </c:pt>
                <c:pt idx="24">
                  <c:v>ITC</c:v>
                </c:pt>
                <c:pt idx="25">
                  <c:v>JIOFIN</c:v>
                </c:pt>
                <c:pt idx="26">
                  <c:v>JSWSTEEL</c:v>
                </c:pt>
                <c:pt idx="27">
                  <c:v>KOTAKBANK</c:v>
                </c:pt>
                <c:pt idx="28">
                  <c:v>LT</c:v>
                </c:pt>
                <c:pt idx="29">
                  <c:v>M&amp;M</c:v>
                </c:pt>
                <c:pt idx="30">
                  <c:v>MARUTI</c:v>
                </c:pt>
                <c:pt idx="31">
                  <c:v>MAXHEALTH</c:v>
                </c:pt>
                <c:pt idx="32">
                  <c:v>NESTLEIND</c:v>
                </c:pt>
                <c:pt idx="33">
                  <c:v>NTPC</c:v>
                </c:pt>
                <c:pt idx="34">
                  <c:v>ONGC</c:v>
                </c:pt>
                <c:pt idx="35">
                  <c:v>POWERGRID</c:v>
                </c:pt>
                <c:pt idx="36">
                  <c:v>RELIANCE</c:v>
                </c:pt>
                <c:pt idx="37">
                  <c:v>SBILIFE</c:v>
                </c:pt>
                <c:pt idx="38">
                  <c:v>SBIN</c:v>
                </c:pt>
                <c:pt idx="39">
                  <c:v>SHRIRAMFIN</c:v>
                </c:pt>
                <c:pt idx="40">
                  <c:v>SUNPHARMA</c:v>
                </c:pt>
                <c:pt idx="41">
                  <c:v>TATACONSUM</c:v>
                </c:pt>
                <c:pt idx="42">
                  <c:v>TATASTEEL</c:v>
                </c:pt>
                <c:pt idx="43">
                  <c:v>TCS</c:v>
                </c:pt>
                <c:pt idx="44">
                  <c:v>TECHM</c:v>
                </c:pt>
                <c:pt idx="45">
                  <c:v>TITAN</c:v>
                </c:pt>
                <c:pt idx="46">
                  <c:v>TMPV</c:v>
                </c:pt>
                <c:pt idx="47">
                  <c:v>TRENT</c:v>
                </c:pt>
                <c:pt idx="48">
                  <c:v>ULTRACEMCO</c:v>
                </c:pt>
                <c:pt idx="49">
                  <c:v>WIPRO</c:v>
                </c:pt>
              </c:strCache>
            </c:strRef>
          </c:cat>
          <c:val>
            <c:numRef>
              <c:f>'Pivot table2'!$K$4:$K$54</c:f>
              <c:numCache>
                <c:formatCode>General</c:formatCode>
                <c:ptCount val="50"/>
                <c:pt idx="0">
                  <c:v>1824</c:v>
                </c:pt>
                <c:pt idx="1">
                  <c:v>1339.9</c:v>
                </c:pt>
                <c:pt idx="2">
                  <c:v>7547</c:v>
                </c:pt>
                <c:pt idx="3">
                  <c:v>2209.1999999999998</c:v>
                </c:pt>
                <c:pt idx="4">
                  <c:v>1203.8</c:v>
                </c:pt>
                <c:pt idx="5">
                  <c:v>8897.5</c:v>
                </c:pt>
                <c:pt idx="6">
                  <c:v>1694.7</c:v>
                </c:pt>
                <c:pt idx="7">
                  <c:v>846.5</c:v>
                </c:pt>
                <c:pt idx="8">
                  <c:v>405.95</c:v>
                </c:pt>
                <c:pt idx="9">
                  <c:v>1850</c:v>
                </c:pt>
                <c:pt idx="10">
                  <c:v>1242</c:v>
                </c:pt>
                <c:pt idx="11">
                  <c:v>445.1</c:v>
                </c:pt>
                <c:pt idx="12">
                  <c:v>1281.0999999999999</c:v>
                </c:pt>
                <c:pt idx="13">
                  <c:v>6799</c:v>
                </c:pt>
                <c:pt idx="14">
                  <c:v>232.71</c:v>
                </c:pt>
                <c:pt idx="15">
                  <c:v>2642.1</c:v>
                </c:pt>
                <c:pt idx="16">
                  <c:v>1360.1</c:v>
                </c:pt>
                <c:pt idx="17">
                  <c:v>757.95</c:v>
                </c:pt>
                <c:pt idx="18">
                  <c:v>610.9</c:v>
                </c:pt>
                <c:pt idx="19">
                  <c:v>865</c:v>
                </c:pt>
                <c:pt idx="20">
                  <c:v>2075</c:v>
                </c:pt>
                <c:pt idx="21">
                  <c:v>1237.9000000000001</c:v>
                </c:pt>
                <c:pt idx="22">
                  <c:v>4102.1000000000004</c:v>
                </c:pt>
                <c:pt idx="23">
                  <c:v>1267.5</c:v>
                </c:pt>
                <c:pt idx="24">
                  <c:v>294.55</c:v>
                </c:pt>
                <c:pt idx="25">
                  <c:v>232</c:v>
                </c:pt>
                <c:pt idx="26">
                  <c:v>1130.0999999999999</c:v>
                </c:pt>
                <c:pt idx="27">
                  <c:v>367.15</c:v>
                </c:pt>
                <c:pt idx="28">
                  <c:v>3570</c:v>
                </c:pt>
                <c:pt idx="29">
                  <c:v>3044</c:v>
                </c:pt>
                <c:pt idx="30">
                  <c:v>12411</c:v>
                </c:pt>
                <c:pt idx="31">
                  <c:v>977</c:v>
                </c:pt>
                <c:pt idx="32">
                  <c:v>1194.0999999999999</c:v>
                </c:pt>
                <c:pt idx="33">
                  <c:v>376.5</c:v>
                </c:pt>
                <c:pt idx="34">
                  <c:v>281.10000000000002</c:v>
                </c:pt>
                <c:pt idx="35">
                  <c:v>295.7</c:v>
                </c:pt>
                <c:pt idx="36">
                  <c:v>1348</c:v>
                </c:pt>
                <c:pt idx="37">
                  <c:v>1829.2</c:v>
                </c:pt>
                <c:pt idx="38">
                  <c:v>1019.2</c:v>
                </c:pt>
                <c:pt idx="39">
                  <c:v>903</c:v>
                </c:pt>
                <c:pt idx="40">
                  <c:v>1794</c:v>
                </c:pt>
                <c:pt idx="41">
                  <c:v>1043.7</c:v>
                </c:pt>
                <c:pt idx="42">
                  <c:v>193.19</c:v>
                </c:pt>
                <c:pt idx="43">
                  <c:v>2387.5</c:v>
                </c:pt>
                <c:pt idx="44">
                  <c:v>1386.7</c:v>
                </c:pt>
                <c:pt idx="45">
                  <c:v>3982.1</c:v>
                </c:pt>
                <c:pt idx="46">
                  <c:v>302.3</c:v>
                </c:pt>
                <c:pt idx="47">
                  <c:v>3405</c:v>
                </c:pt>
                <c:pt idx="48">
                  <c:v>11100</c:v>
                </c:pt>
                <c:pt idx="49">
                  <c:v>191.35</c:v>
                </c:pt>
              </c:numCache>
            </c:numRef>
          </c:val>
          <c:smooth val="0"/>
          <c:extLst>
            <c:ext xmlns:c16="http://schemas.microsoft.com/office/drawing/2014/chart" uri="{C3380CC4-5D6E-409C-BE32-E72D297353CC}">
              <c16:uniqueId val="{0000003C-1522-4151-B5AD-A36491C2CBA3}"/>
            </c:ext>
          </c:extLst>
        </c:ser>
        <c:dLbls>
          <c:showLegendKey val="0"/>
          <c:showVal val="0"/>
          <c:showCatName val="0"/>
          <c:showSerName val="0"/>
          <c:showPercent val="0"/>
          <c:showBubbleSize val="0"/>
        </c:dLbls>
        <c:marker val="1"/>
        <c:smooth val="0"/>
        <c:axId val="1158259391"/>
        <c:axId val="1158250271"/>
      </c:lineChart>
      <c:catAx>
        <c:axId val="115825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268031"/>
        <c:crosses val="autoZero"/>
        <c:auto val="1"/>
        <c:lblAlgn val="ctr"/>
        <c:lblOffset val="100"/>
        <c:noMultiLvlLbl val="0"/>
      </c:catAx>
      <c:valAx>
        <c:axId val="115826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251231"/>
        <c:crosses val="autoZero"/>
        <c:crossBetween val="between"/>
      </c:valAx>
      <c:valAx>
        <c:axId val="1158250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259391"/>
        <c:crosses val="autoZero"/>
        <c:crossBetween val="between"/>
      </c:valAx>
      <c:catAx>
        <c:axId val="115825939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58250271"/>
        <c:crosses val="autoZero"/>
        <c:auto val="1"/>
        <c:lblAlgn val="ctr"/>
        <c:lblOffset val="100"/>
        <c:noMultiLvlLbl val="0"/>
      </c:catAx>
    </c:plotArea>
    <c:legend>
      <c:legendPos val="r"/>
      <c:layout>
        <c:manualLayout>
          <c:xMode val="edge"/>
          <c:yMode val="edge"/>
          <c:x val="0.7930404636920384"/>
          <c:y val="0.26121536891221936"/>
          <c:w val="0.19029286964129483"/>
          <c:h val="0.597939268008165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[Nifty50.xlsx]Pivot table2!PivotTable5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dLbls>
          <c:showLegendKey val="0"/>
          <c:showVal val="0"/>
          <c:showCatName val="0"/>
          <c:showSerName val="0"/>
          <c:showPercent val="0"/>
          <c:showBubbleSize val="0"/>
        </c:dLbls>
        <c:gapWidth val="150"/>
        <c:shape val="box"/>
        <c:axId val="581141663"/>
        <c:axId val="581148383"/>
        <c:axId val="0"/>
      </c:bar3DChart>
      <c:catAx>
        <c:axId val="581141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148383"/>
        <c:crosses val="autoZero"/>
        <c:auto val="1"/>
        <c:lblAlgn val="ctr"/>
        <c:lblOffset val="100"/>
        <c:noMultiLvlLbl val="0"/>
      </c:catAx>
      <c:valAx>
        <c:axId val="581148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14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chart" Target="../charts/chart11.xml"/><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chart" Target="../charts/chart10.xml"/><Relationship Id="rId5" Type="http://schemas.openxmlformats.org/officeDocument/2006/relationships/image" Target="../media/image5.emf"/><Relationship Id="rId10" Type="http://schemas.openxmlformats.org/officeDocument/2006/relationships/chart" Target="../charts/chart9.xml"/><Relationship Id="rId4" Type="http://schemas.openxmlformats.org/officeDocument/2006/relationships/image" Target="../media/image4.emf"/><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16</xdr:row>
      <xdr:rowOff>76200</xdr:rowOff>
    </xdr:to>
    <xdr:graphicFrame macro="">
      <xdr:nvGraphicFramePr>
        <xdr:cNvPr id="2" name="Chart 1">
          <a:extLst>
            <a:ext uri="{FF2B5EF4-FFF2-40B4-BE49-F238E27FC236}">
              <a16:creationId xmlns:a16="http://schemas.microsoft.com/office/drawing/2014/main" id="{ED7D7D48-A2F9-4C24-9A19-D66BBB249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15</xdr:col>
      <xdr:colOff>304800</xdr:colOff>
      <xdr:row>16</xdr:row>
      <xdr:rowOff>76200</xdr:rowOff>
    </xdr:to>
    <xdr:graphicFrame macro="">
      <xdr:nvGraphicFramePr>
        <xdr:cNvPr id="3" name="Chart 2">
          <a:extLst>
            <a:ext uri="{FF2B5EF4-FFF2-40B4-BE49-F238E27FC236}">
              <a16:creationId xmlns:a16="http://schemas.microsoft.com/office/drawing/2014/main" id="{9CA26442-B929-43EA-B2FC-C993B1290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xdr:row>
      <xdr:rowOff>0</xdr:rowOff>
    </xdr:from>
    <xdr:to>
      <xdr:col>23</xdr:col>
      <xdr:colOff>304800</xdr:colOff>
      <xdr:row>17</xdr:row>
      <xdr:rowOff>76200</xdr:rowOff>
    </xdr:to>
    <xdr:graphicFrame macro="">
      <xdr:nvGraphicFramePr>
        <xdr:cNvPr id="4" name="Chart 3">
          <a:extLst>
            <a:ext uri="{FF2B5EF4-FFF2-40B4-BE49-F238E27FC236}">
              <a16:creationId xmlns:a16="http://schemas.microsoft.com/office/drawing/2014/main" id="{84013052-41D0-47D3-A59C-B766193BB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352425</xdr:colOff>
      <xdr:row>1</xdr:row>
      <xdr:rowOff>114299</xdr:rowOff>
    </xdr:from>
    <xdr:to>
      <xdr:col>31</xdr:col>
      <xdr:colOff>161925</xdr:colOff>
      <xdr:row>19</xdr:row>
      <xdr:rowOff>9524</xdr:rowOff>
    </xdr:to>
    <xdr:graphicFrame macro="">
      <xdr:nvGraphicFramePr>
        <xdr:cNvPr id="5" name="Chart 4">
          <a:extLst>
            <a:ext uri="{FF2B5EF4-FFF2-40B4-BE49-F238E27FC236}">
              <a16:creationId xmlns:a16="http://schemas.microsoft.com/office/drawing/2014/main" id="{77CAF6E0-4195-49D4-BD98-3B004915F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447675</xdr:colOff>
      <xdr:row>2</xdr:row>
      <xdr:rowOff>0</xdr:rowOff>
    </xdr:from>
    <xdr:to>
      <xdr:col>39</xdr:col>
      <xdr:colOff>304800</xdr:colOff>
      <xdr:row>16</xdr:row>
      <xdr:rowOff>76200</xdr:rowOff>
    </xdr:to>
    <xdr:graphicFrame macro="">
      <xdr:nvGraphicFramePr>
        <xdr:cNvPr id="6" name="Chart 5">
          <a:extLst>
            <a:ext uri="{FF2B5EF4-FFF2-40B4-BE49-F238E27FC236}">
              <a16:creationId xmlns:a16="http://schemas.microsoft.com/office/drawing/2014/main" id="{7AE17E08-CA8B-47EE-A552-EC23BB28C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0</xdr:colOff>
      <xdr:row>3</xdr:row>
      <xdr:rowOff>0</xdr:rowOff>
    </xdr:from>
    <xdr:to>
      <xdr:col>47</xdr:col>
      <xdr:colOff>304800</xdr:colOff>
      <xdr:row>17</xdr:row>
      <xdr:rowOff>76200</xdr:rowOff>
    </xdr:to>
    <xdr:graphicFrame macro="">
      <xdr:nvGraphicFramePr>
        <xdr:cNvPr id="7" name="Chart 6">
          <a:extLst>
            <a:ext uri="{FF2B5EF4-FFF2-40B4-BE49-F238E27FC236}">
              <a16:creationId xmlns:a16="http://schemas.microsoft.com/office/drawing/2014/main" id="{5793A308-4D61-4CB2-A0B3-21527385E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11428</xdr:rowOff>
    </xdr:from>
    <xdr:to>
      <xdr:col>22</xdr:col>
      <xdr:colOff>457199</xdr:colOff>
      <xdr:row>41</xdr:row>
      <xdr:rowOff>0</xdr:rowOff>
    </xdr:to>
    <xdr:sp macro="" textlink="">
      <xdr:nvSpPr>
        <xdr:cNvPr id="4" name="Rectangle 3">
          <a:extLst>
            <a:ext uri="{FF2B5EF4-FFF2-40B4-BE49-F238E27FC236}">
              <a16:creationId xmlns:a16="http://schemas.microsoft.com/office/drawing/2014/main" id="{53BDED4D-4E01-1FF5-B078-9BED930C8EA4}"/>
            </a:ext>
          </a:extLst>
        </xdr:cNvPr>
        <xdr:cNvSpPr/>
      </xdr:nvSpPr>
      <xdr:spPr>
        <a:xfrm flipH="1" flipV="1">
          <a:off x="0" y="11428"/>
          <a:ext cx="13868399" cy="77990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19051</xdr:colOff>
      <xdr:row>0</xdr:row>
      <xdr:rowOff>0</xdr:rowOff>
    </xdr:from>
    <xdr:to>
      <xdr:col>5</xdr:col>
      <xdr:colOff>266701</xdr:colOff>
      <xdr:row>40</xdr:row>
      <xdr:rowOff>161926</xdr:rowOff>
    </xdr:to>
    <xdr:sp macro="" textlink="">
      <xdr:nvSpPr>
        <xdr:cNvPr id="3" name="Rectangle: Rounded Corners 2">
          <a:extLst>
            <a:ext uri="{FF2B5EF4-FFF2-40B4-BE49-F238E27FC236}">
              <a16:creationId xmlns:a16="http://schemas.microsoft.com/office/drawing/2014/main" id="{68EB1656-EB39-6E0B-B9D6-79CF54F3EDC0}"/>
            </a:ext>
          </a:extLst>
        </xdr:cNvPr>
        <xdr:cNvSpPr/>
      </xdr:nvSpPr>
      <xdr:spPr>
        <a:xfrm>
          <a:off x="19051" y="0"/>
          <a:ext cx="3295650" cy="7781926"/>
        </a:xfrm>
        <a:prstGeom prst="roundRect">
          <a:avLst/>
        </a:prstGeom>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19051</xdr:colOff>
      <xdr:row>2</xdr:row>
      <xdr:rowOff>38100</xdr:rowOff>
    </xdr:from>
    <xdr:to>
      <xdr:col>5</xdr:col>
      <xdr:colOff>247650</xdr:colOff>
      <xdr:row>10</xdr:row>
      <xdr:rowOff>28575</xdr:rowOff>
    </xdr:to>
    <xdr:pic>
      <xdr:nvPicPr>
        <xdr:cNvPr id="5" name="Picture 4">
          <a:extLst>
            <a:ext uri="{FF2B5EF4-FFF2-40B4-BE49-F238E27FC236}">
              <a16:creationId xmlns:a16="http://schemas.microsoft.com/office/drawing/2014/main" id="{5D67D663-E4BA-2918-AF20-D68CA56FA4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1" y="419100"/>
          <a:ext cx="3276599" cy="1514475"/>
        </a:xfrm>
        <a:prstGeom prst="rect">
          <a:avLst/>
        </a:prstGeom>
      </xdr:spPr>
    </xdr:pic>
    <xdr:clientData/>
  </xdr:twoCellAnchor>
  <xdr:twoCellAnchor editAs="oneCell">
    <xdr:from>
      <xdr:col>0</xdr:col>
      <xdr:colOff>19049</xdr:colOff>
      <xdr:row>10</xdr:row>
      <xdr:rowOff>9525</xdr:rowOff>
    </xdr:from>
    <xdr:to>
      <xdr:col>5</xdr:col>
      <xdr:colOff>276225</xdr:colOff>
      <xdr:row>18</xdr:row>
      <xdr:rowOff>171450</xdr:rowOff>
    </xdr:to>
    <xdr:pic>
      <xdr:nvPicPr>
        <xdr:cNvPr id="7" name="Picture 6">
          <a:extLst>
            <a:ext uri="{FF2B5EF4-FFF2-40B4-BE49-F238E27FC236}">
              <a16:creationId xmlns:a16="http://schemas.microsoft.com/office/drawing/2014/main" id="{23B1E788-E7BF-9B8F-C0F9-1757DFF74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49" y="1914525"/>
          <a:ext cx="3305176" cy="1685925"/>
        </a:xfrm>
        <a:prstGeom prst="rect">
          <a:avLst/>
        </a:prstGeom>
      </xdr:spPr>
    </xdr:pic>
    <xdr:clientData/>
  </xdr:twoCellAnchor>
  <xdr:twoCellAnchor>
    <xdr:from>
      <xdr:col>0</xdr:col>
      <xdr:colOff>304800</xdr:colOff>
      <xdr:row>20</xdr:row>
      <xdr:rowOff>47625</xdr:rowOff>
    </xdr:from>
    <xdr:to>
      <xdr:col>4</xdr:col>
      <xdr:colOff>485775</xdr:colOff>
      <xdr:row>39</xdr:row>
      <xdr:rowOff>133350</xdr:rowOff>
    </xdr:to>
    <xdr:sp macro="" textlink="">
      <xdr:nvSpPr>
        <xdr:cNvPr id="2" name="TextBox 1">
          <a:extLst>
            <a:ext uri="{FF2B5EF4-FFF2-40B4-BE49-F238E27FC236}">
              <a16:creationId xmlns:a16="http://schemas.microsoft.com/office/drawing/2014/main" id="{062A58A0-25C3-0A9F-FB2D-38AD5CBFDD90}"/>
            </a:ext>
          </a:extLst>
        </xdr:cNvPr>
        <xdr:cNvSpPr txBox="1"/>
      </xdr:nvSpPr>
      <xdr:spPr>
        <a:xfrm>
          <a:off x="304800" y="3857625"/>
          <a:ext cx="2619375" cy="370522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200" b="0" i="0">
              <a:solidFill>
                <a:schemeClr val="dk1"/>
              </a:solidFill>
              <a:effectLst/>
              <a:latin typeface="+mn-lt"/>
              <a:ea typeface="+mn-ea"/>
              <a:cs typeface="+mn-cs"/>
            </a:rPr>
            <a:t>BUY Quantity</a:t>
          </a:r>
          <a:r>
            <a:rPr lang="en-IN" sz="2200" b="0" i="0" baseline="0">
              <a:solidFill>
                <a:schemeClr val="dk1"/>
              </a:solidFill>
              <a:effectLst/>
              <a:latin typeface="+mn-lt"/>
              <a:ea typeface="+mn-ea"/>
              <a:cs typeface="+mn-cs"/>
            </a:rPr>
            <a:t> </a:t>
          </a:r>
          <a:endParaRPr lang="en-IN"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2400">
              <a:effectLst/>
            </a:rPr>
            <a:t>  </a:t>
          </a:r>
          <a:endParaRPr lang="en-IN" sz="2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2200" b="0" i="0">
              <a:solidFill>
                <a:schemeClr val="dk1"/>
              </a:solidFill>
              <a:effectLst/>
              <a:latin typeface="+mn-lt"/>
              <a:ea typeface="+mn-ea"/>
              <a:cs typeface="+mn-cs"/>
            </a:rPr>
            <a:t>Intraday BUY Value</a:t>
          </a:r>
          <a:r>
            <a:rPr lang="en-IN" sz="2200">
              <a:solidFill>
                <a:schemeClr val="dk1"/>
              </a:solidFill>
              <a:effectLst/>
              <a:latin typeface="+mn-lt"/>
              <a:ea typeface="+mn-ea"/>
              <a:cs typeface="+mn-cs"/>
            </a:rPr>
            <a:t> </a:t>
          </a:r>
          <a:endParaRPr lang="en-IN"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2400">
              <a:effectLst/>
            </a:rPr>
            <a:t> </a:t>
          </a:r>
          <a:endParaRPr lang="en-IN" sz="2200">
            <a:solidFill>
              <a:srgbClr val="00B05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2200" b="0" i="0">
              <a:solidFill>
                <a:schemeClr val="dk1"/>
              </a:solidFill>
              <a:effectLst/>
              <a:latin typeface="+mn-lt"/>
              <a:ea typeface="+mn-ea"/>
              <a:cs typeface="+mn-cs"/>
            </a:rPr>
            <a:t>Intraday SELL Value</a:t>
          </a:r>
          <a:r>
            <a:rPr lang="en-IN" sz="2200">
              <a:solidFill>
                <a:schemeClr val="dk1"/>
              </a:solidFill>
              <a:effectLst/>
              <a:latin typeface="+mn-lt"/>
              <a:ea typeface="+mn-ea"/>
              <a:cs typeface="+mn-cs"/>
            </a:rPr>
            <a:t> </a:t>
          </a:r>
          <a:endParaRPr lang="en-IN"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2000" b="0" i="0" u="none" strike="noStrike">
              <a:solidFill>
                <a:srgbClr val="FF0000"/>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IN" sz="2200" b="0" i="0">
              <a:solidFill>
                <a:schemeClr val="dk1"/>
              </a:solidFill>
              <a:effectLst/>
              <a:latin typeface="+mn-lt"/>
              <a:ea typeface="+mn-ea"/>
              <a:cs typeface="+mn-cs"/>
            </a:rPr>
            <a:t>Intraday Profit/-Loss</a:t>
          </a:r>
          <a:r>
            <a:rPr lang="en-IN" sz="2200">
              <a:solidFill>
                <a:schemeClr val="dk1"/>
              </a:solidFill>
              <a:effectLst/>
              <a:latin typeface="+mn-lt"/>
              <a:ea typeface="+mn-ea"/>
              <a:cs typeface="+mn-cs"/>
            </a:rPr>
            <a:t> </a:t>
          </a:r>
          <a:endParaRPr lang="en-IN"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2200">
              <a:solidFill>
                <a:srgbClr val="00B050"/>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IN" sz="2200" b="0" i="0">
              <a:solidFill>
                <a:schemeClr val="dk1"/>
              </a:solidFill>
              <a:effectLst/>
              <a:latin typeface="+mn-lt"/>
              <a:ea typeface="+mn-ea"/>
              <a:cs typeface="+mn-cs"/>
            </a:rPr>
            <a:t>Potential Profit       </a:t>
          </a:r>
          <a:r>
            <a:rPr lang="en-IN" sz="2200">
              <a:solidFill>
                <a:schemeClr val="dk1"/>
              </a:solidFill>
              <a:effectLst/>
              <a:latin typeface="+mn-lt"/>
              <a:ea typeface="+mn-ea"/>
              <a:cs typeface="+mn-cs"/>
            </a:rPr>
            <a:t> </a:t>
          </a:r>
          <a:endParaRPr lang="en-IN"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2200">
              <a:solidFill>
                <a:schemeClr val="tx1"/>
              </a:solidFill>
              <a:effectLst/>
              <a:latin typeface="+mn-lt"/>
              <a:ea typeface="+mn-ea"/>
              <a:cs typeface="+mn-cs"/>
            </a:rPr>
            <a:t> </a:t>
          </a:r>
        </a:p>
      </xdr:txBody>
    </xdr:sp>
    <xdr:clientData/>
  </xdr:twoCellAnchor>
  <xdr:twoCellAnchor editAs="oneCell">
    <xdr:from>
      <xdr:col>9</xdr:col>
      <xdr:colOff>19049</xdr:colOff>
      <xdr:row>0</xdr:row>
      <xdr:rowOff>11428</xdr:rowOff>
    </xdr:from>
    <xdr:to>
      <xdr:col>13</xdr:col>
      <xdr:colOff>19050</xdr:colOff>
      <xdr:row>5</xdr:row>
      <xdr:rowOff>114300</xdr:rowOff>
    </xdr:to>
    <mc:AlternateContent xmlns:mc="http://schemas.openxmlformats.org/markup-compatibility/2006" xmlns:a14="http://schemas.microsoft.com/office/drawing/2010/main">
      <mc:Choice Requires="a14">
        <xdr:graphicFrame macro="">
          <xdr:nvGraphicFramePr>
            <xdr:cNvPr id="6" name="PROFIT/LOSS">
              <a:extLst>
                <a:ext uri="{FF2B5EF4-FFF2-40B4-BE49-F238E27FC236}">
                  <a16:creationId xmlns:a16="http://schemas.microsoft.com/office/drawing/2014/main" id="{E9FD4B94-2B0D-4FE3-B8E9-3122E7E2AC26}"/>
                </a:ext>
              </a:extLst>
            </xdr:cNvPr>
            <xdr:cNvGraphicFramePr/>
          </xdr:nvGraphicFramePr>
          <xdr:xfrm>
            <a:off x="0" y="0"/>
            <a:ext cx="0" cy="0"/>
          </xdr:xfrm>
          <a:graphic>
            <a:graphicData uri="http://schemas.microsoft.com/office/drawing/2010/slicer">
              <sle:slicer xmlns:sle="http://schemas.microsoft.com/office/drawing/2010/slicer" name="PROFIT/LOSS"/>
            </a:graphicData>
          </a:graphic>
        </xdr:graphicFrame>
      </mc:Choice>
      <mc:Fallback xmlns="">
        <xdr:sp macro="" textlink="">
          <xdr:nvSpPr>
            <xdr:cNvPr id="0" name=""/>
            <xdr:cNvSpPr>
              <a:spLocks noTextEdit="1"/>
            </xdr:cNvSpPr>
          </xdr:nvSpPr>
          <xdr:spPr>
            <a:xfrm>
              <a:off x="5505449" y="11428"/>
              <a:ext cx="2438401" cy="1055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304800</xdr:colOff>
      <xdr:row>0</xdr:row>
      <xdr:rowOff>0</xdr:rowOff>
    </xdr:from>
    <xdr:to>
      <xdr:col>9</xdr:col>
      <xdr:colOff>28575</xdr:colOff>
      <xdr:row>5</xdr:row>
      <xdr:rowOff>123825</xdr:rowOff>
    </xdr:to>
    <mc:AlternateContent xmlns:mc="http://schemas.openxmlformats.org/markup-compatibility/2006" xmlns:a14="http://schemas.microsoft.com/office/drawing/2010/main">
      <mc:Choice Requires="a14">
        <xdr:graphicFrame macro="">
          <xdr:nvGraphicFramePr>
            <xdr:cNvPr id="8" name="SYMBOL &#10; 1">
              <a:extLst>
                <a:ext uri="{FF2B5EF4-FFF2-40B4-BE49-F238E27FC236}">
                  <a16:creationId xmlns:a16="http://schemas.microsoft.com/office/drawing/2014/main" id="{7C3BA9FB-5DE1-464B-A23C-F13580F30B6A}"/>
                </a:ext>
              </a:extLst>
            </xdr:cNvPr>
            <xdr:cNvGraphicFramePr/>
          </xdr:nvGraphicFramePr>
          <xdr:xfrm>
            <a:off x="0" y="0"/>
            <a:ext cx="0" cy="0"/>
          </xdr:xfrm>
          <a:graphic>
            <a:graphicData uri="http://schemas.microsoft.com/office/drawing/2010/slicer">
              <sle:slicer xmlns:sle="http://schemas.microsoft.com/office/drawing/2010/slicer" name="SYMBOL &#10; 1"/>
            </a:graphicData>
          </a:graphic>
        </xdr:graphicFrame>
      </mc:Choice>
      <mc:Fallback xmlns="">
        <xdr:sp macro="" textlink="">
          <xdr:nvSpPr>
            <xdr:cNvPr id="0" name=""/>
            <xdr:cNvSpPr>
              <a:spLocks noTextEdit="1"/>
            </xdr:cNvSpPr>
          </xdr:nvSpPr>
          <xdr:spPr>
            <a:xfrm>
              <a:off x="3352800" y="0"/>
              <a:ext cx="2162175" cy="107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495300</xdr:colOff>
          <xdr:row>22</xdr:row>
          <xdr:rowOff>85725</xdr:rowOff>
        </xdr:from>
        <xdr:to>
          <xdr:col>2</xdr:col>
          <xdr:colOff>590550</xdr:colOff>
          <xdr:row>24</xdr:row>
          <xdr:rowOff>66675</xdr:rowOff>
        </xdr:to>
        <xdr:pic>
          <xdr:nvPicPr>
            <xdr:cNvPr id="19" name="Picture 18">
              <a:extLst>
                <a:ext uri="{FF2B5EF4-FFF2-40B4-BE49-F238E27FC236}">
                  <a16:creationId xmlns:a16="http://schemas.microsoft.com/office/drawing/2014/main" id="{F06D60D0-84BB-8144-88D5-6BB083D368E0}"/>
                </a:ext>
              </a:extLst>
            </xdr:cNvPr>
            <xdr:cNvPicPr>
              <a:picLocks noChangeAspect="1" noChangeArrowheads="1"/>
              <a:extLst>
                <a:ext uri="{84589F7E-364E-4C9E-8A38-B11213B215E9}">
                  <a14:cameraTool cellRange="KPI!$J$5" spid="_x0000_s2109"/>
                </a:ext>
              </a:extLst>
            </xdr:cNvPicPr>
          </xdr:nvPicPr>
          <xdr:blipFill>
            <a:blip xmlns:r="http://schemas.openxmlformats.org/officeDocument/2006/relationships" r:embed="rId3"/>
            <a:srcRect/>
            <a:stretch>
              <a:fillRect/>
            </a:stretch>
          </xdr:blipFill>
          <xdr:spPr bwMode="auto">
            <a:xfrm>
              <a:off x="495300" y="4276725"/>
              <a:ext cx="1314450" cy="3619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504825</xdr:colOff>
          <xdr:row>26</xdr:row>
          <xdr:rowOff>47625</xdr:rowOff>
        </xdr:from>
        <xdr:to>
          <xdr:col>3</xdr:col>
          <xdr:colOff>323850</xdr:colOff>
          <xdr:row>28</xdr:row>
          <xdr:rowOff>28575</xdr:rowOff>
        </xdr:to>
        <xdr:pic>
          <xdr:nvPicPr>
            <xdr:cNvPr id="21" name="Picture 20">
              <a:extLst>
                <a:ext uri="{FF2B5EF4-FFF2-40B4-BE49-F238E27FC236}">
                  <a16:creationId xmlns:a16="http://schemas.microsoft.com/office/drawing/2014/main" id="{DA2664EE-1724-DA5E-A1F4-5EF95BD0F6B1}"/>
                </a:ext>
              </a:extLst>
            </xdr:cNvPr>
            <xdr:cNvPicPr>
              <a:picLocks noChangeAspect="1" noChangeArrowheads="1"/>
              <a:extLst>
                <a:ext uri="{84589F7E-364E-4C9E-8A38-B11213B215E9}">
                  <a14:cameraTool cellRange="KPI!$L$5" spid="_x0000_s2110"/>
                </a:ext>
              </a:extLst>
            </xdr:cNvPicPr>
          </xdr:nvPicPr>
          <xdr:blipFill>
            <a:blip xmlns:r="http://schemas.openxmlformats.org/officeDocument/2006/relationships" r:embed="rId4"/>
            <a:srcRect/>
            <a:stretch>
              <a:fillRect/>
            </a:stretch>
          </xdr:blipFill>
          <xdr:spPr bwMode="auto">
            <a:xfrm>
              <a:off x="504825" y="5000625"/>
              <a:ext cx="1647825" cy="3619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485775</xdr:colOff>
          <xdr:row>29</xdr:row>
          <xdr:rowOff>123825</xdr:rowOff>
        </xdr:from>
        <xdr:to>
          <xdr:col>3</xdr:col>
          <xdr:colOff>304800</xdr:colOff>
          <xdr:row>31</xdr:row>
          <xdr:rowOff>104775</xdr:rowOff>
        </xdr:to>
        <xdr:pic>
          <xdr:nvPicPr>
            <xdr:cNvPr id="22" name="Picture 21">
              <a:extLst>
                <a:ext uri="{FF2B5EF4-FFF2-40B4-BE49-F238E27FC236}">
                  <a16:creationId xmlns:a16="http://schemas.microsoft.com/office/drawing/2014/main" id="{22DAC761-0590-70BA-ED4A-55381162103D}"/>
                </a:ext>
              </a:extLst>
            </xdr:cNvPr>
            <xdr:cNvPicPr>
              <a:picLocks noChangeAspect="1" noChangeArrowheads="1"/>
              <a:extLst>
                <a:ext uri="{84589F7E-364E-4C9E-8A38-B11213B215E9}">
                  <a14:cameraTool cellRange="KPI!$O$5" spid="_x0000_s2111"/>
                </a:ext>
              </a:extLst>
            </xdr:cNvPicPr>
          </xdr:nvPicPr>
          <xdr:blipFill>
            <a:blip xmlns:r="http://schemas.openxmlformats.org/officeDocument/2006/relationships" r:embed="rId5"/>
            <a:srcRect/>
            <a:stretch>
              <a:fillRect/>
            </a:stretch>
          </xdr:blipFill>
          <xdr:spPr bwMode="auto">
            <a:xfrm>
              <a:off x="485775" y="5648325"/>
              <a:ext cx="1647825" cy="3619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504825</xdr:colOff>
          <xdr:row>36</xdr:row>
          <xdr:rowOff>171450</xdr:rowOff>
        </xdr:from>
        <xdr:to>
          <xdr:col>3</xdr:col>
          <xdr:colOff>114300</xdr:colOff>
          <xdr:row>38</xdr:row>
          <xdr:rowOff>152400</xdr:rowOff>
        </xdr:to>
        <xdr:pic>
          <xdr:nvPicPr>
            <xdr:cNvPr id="23" name="Picture 22">
              <a:extLst>
                <a:ext uri="{FF2B5EF4-FFF2-40B4-BE49-F238E27FC236}">
                  <a16:creationId xmlns:a16="http://schemas.microsoft.com/office/drawing/2014/main" id="{E3A65EA3-2060-EEEE-F791-FC48E2E4965E}"/>
                </a:ext>
              </a:extLst>
            </xdr:cNvPr>
            <xdr:cNvPicPr>
              <a:picLocks noChangeAspect="1" noChangeArrowheads="1"/>
              <a:extLst>
                <a:ext uri="{84589F7E-364E-4C9E-8A38-B11213B215E9}">
                  <a14:cameraTool cellRange="KPI!$U$5" spid="_x0000_s2112"/>
                </a:ext>
              </a:extLst>
            </xdr:cNvPicPr>
          </xdr:nvPicPr>
          <xdr:blipFill>
            <a:blip xmlns:r="http://schemas.openxmlformats.org/officeDocument/2006/relationships" r:embed="rId6"/>
            <a:srcRect/>
            <a:stretch>
              <a:fillRect/>
            </a:stretch>
          </xdr:blipFill>
          <xdr:spPr bwMode="auto">
            <a:xfrm>
              <a:off x="504825" y="7029450"/>
              <a:ext cx="1438275" cy="3619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485775</xdr:colOff>
          <xdr:row>33</xdr:row>
          <xdr:rowOff>47625</xdr:rowOff>
        </xdr:from>
        <xdr:to>
          <xdr:col>3</xdr:col>
          <xdr:colOff>400050</xdr:colOff>
          <xdr:row>35</xdr:row>
          <xdr:rowOff>28575</xdr:rowOff>
        </xdr:to>
        <xdr:pic>
          <xdr:nvPicPr>
            <xdr:cNvPr id="24" name="Picture 23">
              <a:extLst>
                <a:ext uri="{FF2B5EF4-FFF2-40B4-BE49-F238E27FC236}">
                  <a16:creationId xmlns:a16="http://schemas.microsoft.com/office/drawing/2014/main" id="{965A532D-82B9-7BC7-E13F-7633A48D42BC}"/>
                </a:ext>
              </a:extLst>
            </xdr:cNvPr>
            <xdr:cNvPicPr>
              <a:picLocks noChangeAspect="1" noChangeArrowheads="1"/>
              <a:extLst>
                <a:ext uri="{84589F7E-364E-4C9E-8A38-B11213B215E9}">
                  <a14:cameraTool cellRange="KPI!$R$5" spid="_x0000_s2113"/>
                </a:ext>
              </a:extLst>
            </xdr:cNvPicPr>
          </xdr:nvPicPr>
          <xdr:blipFill>
            <a:blip xmlns:r="http://schemas.openxmlformats.org/officeDocument/2006/relationships" r:embed="rId7"/>
            <a:srcRect/>
            <a:stretch>
              <a:fillRect/>
            </a:stretch>
          </xdr:blipFill>
          <xdr:spPr bwMode="auto">
            <a:xfrm>
              <a:off x="485775" y="6334125"/>
              <a:ext cx="1743075" cy="3619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314325</xdr:colOff>
      <xdr:row>5</xdr:row>
      <xdr:rowOff>114300</xdr:rowOff>
    </xdr:from>
    <xdr:to>
      <xdr:col>13</xdr:col>
      <xdr:colOff>9525</xdr:colOff>
      <xdr:row>23</xdr:row>
      <xdr:rowOff>152400</xdr:rowOff>
    </xdr:to>
    <xdr:graphicFrame macro="">
      <xdr:nvGraphicFramePr>
        <xdr:cNvPr id="10" name="Chart 9">
          <a:extLst>
            <a:ext uri="{FF2B5EF4-FFF2-40B4-BE49-F238E27FC236}">
              <a16:creationId xmlns:a16="http://schemas.microsoft.com/office/drawing/2014/main" id="{8B9A317D-069E-4F3F-9564-FCF1DE573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19051</xdr:colOff>
      <xdr:row>0</xdr:row>
      <xdr:rowOff>0</xdr:rowOff>
    </xdr:from>
    <xdr:to>
      <xdr:col>21</xdr:col>
      <xdr:colOff>438150</xdr:colOff>
      <xdr:row>14</xdr:row>
      <xdr:rowOff>76200</xdr:rowOff>
    </xdr:to>
    <xdr:graphicFrame macro="">
      <xdr:nvGraphicFramePr>
        <xdr:cNvPr id="11" name="Chart 10">
          <a:extLst>
            <a:ext uri="{FF2B5EF4-FFF2-40B4-BE49-F238E27FC236}">
              <a16:creationId xmlns:a16="http://schemas.microsoft.com/office/drawing/2014/main" id="{5DC85978-43CC-4BE5-840D-DE4800313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19049</xdr:colOff>
      <xdr:row>14</xdr:row>
      <xdr:rowOff>85725</xdr:rowOff>
    </xdr:from>
    <xdr:to>
      <xdr:col>21</xdr:col>
      <xdr:colOff>438150</xdr:colOff>
      <xdr:row>28</xdr:row>
      <xdr:rowOff>173353</xdr:rowOff>
    </xdr:to>
    <xdr:graphicFrame macro="">
      <xdr:nvGraphicFramePr>
        <xdr:cNvPr id="12" name="Chart 11">
          <a:extLst>
            <a:ext uri="{FF2B5EF4-FFF2-40B4-BE49-F238E27FC236}">
              <a16:creationId xmlns:a16="http://schemas.microsoft.com/office/drawing/2014/main" id="{7001754C-ED68-4F6B-A7D7-B39AAACEB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9525</xdr:colOff>
      <xdr:row>28</xdr:row>
      <xdr:rowOff>182878</xdr:rowOff>
    </xdr:from>
    <xdr:to>
      <xdr:col>21</xdr:col>
      <xdr:colOff>438150</xdr:colOff>
      <xdr:row>40</xdr:row>
      <xdr:rowOff>180975</xdr:rowOff>
    </xdr:to>
    <xdr:graphicFrame macro="">
      <xdr:nvGraphicFramePr>
        <xdr:cNvPr id="13" name="Chart 12">
          <a:extLst>
            <a:ext uri="{FF2B5EF4-FFF2-40B4-BE49-F238E27FC236}">
              <a16:creationId xmlns:a16="http://schemas.microsoft.com/office/drawing/2014/main" id="{4C22D3BE-34C7-4267-AE4B-6D9A02797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295275</xdr:colOff>
      <xdr:row>23</xdr:row>
      <xdr:rowOff>161926</xdr:rowOff>
    </xdr:from>
    <xdr:to>
      <xdr:col>13</xdr:col>
      <xdr:colOff>28575</xdr:colOff>
      <xdr:row>40</xdr:row>
      <xdr:rowOff>180976</xdr:rowOff>
    </xdr:to>
    <xdr:graphicFrame macro="">
      <xdr:nvGraphicFramePr>
        <xdr:cNvPr id="9" name="Chart 8">
          <a:extLst>
            <a:ext uri="{FF2B5EF4-FFF2-40B4-BE49-F238E27FC236}">
              <a16:creationId xmlns:a16="http://schemas.microsoft.com/office/drawing/2014/main" id="{B3E312F8-918A-40E6-821D-B329865A1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66675</xdr:colOff>
      <xdr:row>0</xdr:row>
      <xdr:rowOff>0</xdr:rowOff>
    </xdr:from>
    <xdr:to>
      <xdr:col>13</xdr:col>
      <xdr:colOff>371475</xdr:colOff>
      <xdr:row>14</xdr:row>
      <xdr:rowOff>76200</xdr:rowOff>
    </xdr:to>
    <xdr:graphicFrame macro="">
      <xdr:nvGraphicFramePr>
        <xdr:cNvPr id="2" name="Chart 1">
          <a:extLst>
            <a:ext uri="{FF2B5EF4-FFF2-40B4-BE49-F238E27FC236}">
              <a16:creationId xmlns:a16="http://schemas.microsoft.com/office/drawing/2014/main" id="{4565B1F1-3C06-42D5-A9AF-C74038D1F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0</xdr:colOff>
      <xdr:row>13</xdr:row>
      <xdr:rowOff>47625</xdr:rowOff>
    </xdr:to>
    <mc:AlternateContent xmlns:mc="http://schemas.openxmlformats.org/markup-compatibility/2006" xmlns:a14="http://schemas.microsoft.com/office/drawing/2010/main">
      <mc:Choice Requires="a14">
        <xdr:graphicFrame macro="">
          <xdr:nvGraphicFramePr>
            <xdr:cNvPr id="3" name="SYMBOL &#10;">
              <a:extLst>
                <a:ext uri="{FF2B5EF4-FFF2-40B4-BE49-F238E27FC236}">
                  <a16:creationId xmlns:a16="http://schemas.microsoft.com/office/drawing/2014/main" id="{3494F08E-47CB-41BA-825D-4BC6DA134183}"/>
                </a:ext>
              </a:extLst>
            </xdr:cNvPr>
            <xdr:cNvGraphicFramePr/>
          </xdr:nvGraphicFramePr>
          <xdr:xfrm>
            <a:off x="0" y="0"/>
            <a:ext cx="0" cy="0"/>
          </xdr:xfrm>
          <a:graphic>
            <a:graphicData uri="http://schemas.microsoft.com/office/drawing/2010/slicer">
              <sle:slicer xmlns:sle="http://schemas.microsoft.com/office/drawing/2010/slicer" name="SYMBOL &#10;"/>
            </a:graphicData>
          </a:graphic>
        </xdr:graphicFrame>
      </mc:Choice>
      <mc:Fallback xmlns="">
        <xdr:sp macro="" textlink="">
          <xdr:nvSpPr>
            <xdr:cNvPr id="0" name=""/>
            <xdr:cNvSpPr>
              <a:spLocks noTextEdit="1"/>
            </xdr:cNvSpPr>
          </xdr:nvSpPr>
          <xdr:spPr>
            <a:xfrm>
              <a:off x="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xdr:colOff>
      <xdr:row>0</xdr:row>
      <xdr:rowOff>0</xdr:rowOff>
    </xdr:from>
    <xdr:to>
      <xdr:col>6</xdr:col>
      <xdr:colOff>38100</xdr:colOff>
      <xdr:row>13</xdr:row>
      <xdr:rowOff>47625</xdr:rowOff>
    </xdr:to>
    <mc:AlternateContent xmlns:mc="http://schemas.openxmlformats.org/markup-compatibility/2006" xmlns:a14="http://schemas.microsoft.com/office/drawing/2010/main">
      <mc:Choice Requires="a14">
        <xdr:graphicFrame macro="">
          <xdr:nvGraphicFramePr>
            <xdr:cNvPr id="4" name="P/L">
              <a:extLst>
                <a:ext uri="{FF2B5EF4-FFF2-40B4-BE49-F238E27FC236}">
                  <a16:creationId xmlns:a16="http://schemas.microsoft.com/office/drawing/2014/main" id="{8A488A1C-EB74-49DF-BD18-7290D63EA771}"/>
                </a:ext>
              </a:extLst>
            </xdr:cNvPr>
            <xdr:cNvGraphicFramePr/>
          </xdr:nvGraphicFramePr>
          <xdr:xfrm>
            <a:off x="0" y="0"/>
            <a:ext cx="0" cy="0"/>
          </xdr:xfrm>
          <a:graphic>
            <a:graphicData uri="http://schemas.microsoft.com/office/drawing/2010/slicer">
              <sle:slicer xmlns:sle="http://schemas.microsoft.com/office/drawing/2010/slicer" name="P/L"/>
            </a:graphicData>
          </a:graphic>
        </xdr:graphicFrame>
      </mc:Choice>
      <mc:Fallback xmlns="">
        <xdr:sp macro="" textlink="">
          <xdr:nvSpPr>
            <xdr:cNvPr id="0" name=""/>
            <xdr:cNvSpPr>
              <a:spLocks noTextEdit="1"/>
            </xdr:cNvSpPr>
          </xdr:nvSpPr>
          <xdr:spPr>
            <a:xfrm>
              <a:off x="186690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38100</xdr:colOff>
      <xdr:row>14</xdr:row>
      <xdr:rowOff>161925</xdr:rowOff>
    </xdr:from>
    <xdr:to>
      <xdr:col>14</xdr:col>
      <xdr:colOff>342900</xdr:colOff>
      <xdr:row>29</xdr:row>
      <xdr:rowOff>47625</xdr:rowOff>
    </xdr:to>
    <xdr:graphicFrame macro="">
      <xdr:nvGraphicFramePr>
        <xdr:cNvPr id="5" name="Chart 4">
          <a:extLst>
            <a:ext uri="{FF2B5EF4-FFF2-40B4-BE49-F238E27FC236}">
              <a16:creationId xmlns:a16="http://schemas.microsoft.com/office/drawing/2014/main" id="{EBA2A0BC-0CB9-452F-85E3-07870A6C8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190499</xdr:rowOff>
    </xdr:from>
    <xdr:to>
      <xdr:col>7</xdr:col>
      <xdr:colOff>9525</xdr:colOff>
      <xdr:row>29</xdr:row>
      <xdr:rowOff>47624</xdr:rowOff>
    </xdr:to>
    <xdr:graphicFrame macro="">
      <xdr:nvGraphicFramePr>
        <xdr:cNvPr id="6" name="Chart 5">
          <a:extLst>
            <a:ext uri="{FF2B5EF4-FFF2-40B4-BE49-F238E27FC236}">
              <a16:creationId xmlns:a16="http://schemas.microsoft.com/office/drawing/2014/main" id="{237E2D20-2182-4990-B1D8-7DF359F88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390525</xdr:colOff>
      <xdr:row>0</xdr:row>
      <xdr:rowOff>0</xdr:rowOff>
    </xdr:from>
    <xdr:to>
      <xdr:col>21</xdr:col>
      <xdr:colOff>85725</xdr:colOff>
      <xdr:row>14</xdr:row>
      <xdr:rowOff>76200</xdr:rowOff>
    </xdr:to>
    <xdr:graphicFrame macro="">
      <xdr:nvGraphicFramePr>
        <xdr:cNvPr id="7" name="Chart 6">
          <a:extLst>
            <a:ext uri="{FF2B5EF4-FFF2-40B4-BE49-F238E27FC236}">
              <a16:creationId xmlns:a16="http://schemas.microsoft.com/office/drawing/2014/main" id="{BAD6269A-9269-4113-959A-734306E5B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342900</xdr:colOff>
      <xdr:row>15</xdr:row>
      <xdr:rowOff>0</xdr:rowOff>
    </xdr:from>
    <xdr:to>
      <xdr:col>22</xdr:col>
      <xdr:colOff>38100</xdr:colOff>
      <xdr:row>29</xdr:row>
      <xdr:rowOff>76200</xdr:rowOff>
    </xdr:to>
    <xdr:graphicFrame macro="">
      <xdr:nvGraphicFramePr>
        <xdr:cNvPr id="8" name="Chart 7">
          <a:extLst>
            <a:ext uri="{FF2B5EF4-FFF2-40B4-BE49-F238E27FC236}">
              <a16:creationId xmlns:a16="http://schemas.microsoft.com/office/drawing/2014/main" id="{05761E33-87F5-4AC8-9B7C-D08EF642A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refreshedDate="46112.994338194447" createdVersion="8" refreshedVersion="8" minRefreshableVersion="3" recordCount="50" xr:uid="{3F40476C-A1E1-4BF1-BD75-39821D4452EE}">
  <cacheSource type="worksheet">
    <worksheetSource name="Table1"/>
  </cacheSource>
  <cacheFields count="24">
    <cacheField name="SYMBOL _x000a_" numFmtId="0">
      <sharedItems count="50">
        <s v="HDFCBANK"/>
        <s v="BHARTIARTL"/>
        <s v="RELIANCE"/>
        <s v="ICICIBANK"/>
        <s v="SBIN"/>
        <s v="ONGC"/>
        <s v="INFY"/>
        <s v="LT"/>
        <s v="HCLTECH"/>
        <s v="TCS"/>
        <s v="AXISBANK"/>
        <s v="SHRIRAMFIN"/>
        <s v="KOTAKBANK"/>
        <s v="M&amp;M"/>
        <s v="MARUTI"/>
        <s v="BAJFINANCE"/>
        <s v="ETERNAL"/>
        <s v="BEL"/>
        <s v="POWERGRID"/>
        <s v="COALINDIA"/>
        <s v="NTPC"/>
        <s v="TATASTEEL"/>
        <s v="INDIGO"/>
        <s v="ITC"/>
        <s v="GRASIM"/>
        <s v="HINDUNILVR"/>
        <s v="TMPV"/>
        <s v="SUNPHARMA"/>
        <s v="WIPRO"/>
        <s v="ADANIENT"/>
        <s v="ULTRACEMCO"/>
        <s v="JIOFIN"/>
        <s v="TRENT"/>
        <s v="BAJAJFINSV"/>
        <s v="TITAN"/>
        <s v="APOLLOHOSP"/>
        <s v="EICHERMOT"/>
        <s v="TECHM"/>
        <s v="ADANIPORTS"/>
        <s v="HINDALCO"/>
        <s v="JSWSTEEL"/>
        <s v="BAJAJ-AUTO"/>
        <s v="DRREDDY"/>
        <s v="CIPLA"/>
        <s v="HDFCLIFE"/>
        <s v="MAXHEALTH"/>
        <s v="ASIANPAINT"/>
        <s v="NESTLEIND"/>
        <s v="SBILIFE"/>
        <s v="TATACONSUM"/>
      </sharedItems>
    </cacheField>
    <cacheField name="OPEN _x000a_" numFmtId="0">
      <sharedItems containsSemiMixedTypes="0" containsString="0" containsNumber="1" minValue="189.05" maxValue="12626"/>
    </cacheField>
    <cacheField name="HIGH _x000a_" numFmtId="0">
      <sharedItems containsSemiMixedTypes="0" containsString="0" containsNumber="1" minValue="192.29" maxValue="12646"/>
    </cacheField>
    <cacheField name="LOW _x000a_" numFmtId="0">
      <sharedItems containsSemiMixedTypes="0" containsString="0" containsNumber="1" minValue="187.9" maxValue="12342"/>
    </cacheField>
    <cacheField name="PREV. CLOSE _x000a_" numFmtId="0">
      <sharedItems containsSemiMixedTypes="0" containsString="0" containsNumber="1" minValue="189.05" maxValue="12711"/>
    </cacheField>
    <cacheField name="LTP _x000a_" numFmtId="0">
      <sharedItems containsSemiMixedTypes="0" containsString="0" containsNumber="1" minValue="191.35" maxValue="12411"/>
    </cacheField>
    <cacheField name="CHANGE_x000a_" numFmtId="164">
      <sharedItems containsSemiMixedTypes="0" containsString="0" containsNumber="1" minValue="-15.099999999999909" maxValue="300"/>
    </cacheField>
    <cacheField name="%CHANGE_x000a_" numFmtId="165">
      <sharedItems containsSemiMixedTypes="0" containsString="0" containsNumber="1" minValue="-5.543933054393305" maxValue="4.0340488527017149"/>
    </cacheField>
    <cacheField name="VOLUME _x000a_(shares)" numFmtId="3">
      <sharedItems containsSemiMixedTypes="0" containsString="0" containsNumber="1" containsInteger="1" minValue="326675" maxValue="65485199"/>
    </cacheField>
    <cacheField name="52W H IGH_x000a_" numFmtId="0">
      <sharedItems containsSemiMixedTypes="0" containsString="0" containsNumber="1" minValue="216.45" maxValue="17370"/>
    </cacheField>
    <cacheField name="52W L OW_x000a_" numFmtId="0">
      <sharedItems containsSemiMixedTypes="0" containsString="0" containsNumber="1" minValue="125.3" maxValue="11059.45"/>
    </cacheField>
    <cacheField name="Diff" numFmtId="4">
      <sharedItems containsSemiMixedTypes="0" containsString="0" containsNumber="1" minValue="72" maxValue="6310.5499999999993"/>
    </cacheField>
    <cacheField name="Expected %Target" numFmtId="2">
      <sharedItems containsSemiMixedTypes="0" containsString="0" containsNumber="1" minValue="0.12" maxValue="0.4"/>
    </cacheField>
    <cacheField name="Target Diff" numFmtId="2">
      <sharedItems containsSemiMixedTypes="0" containsString="0" containsNumber="1" minValue="44.057999999999993" maxValue="2220"/>
    </cacheField>
    <cacheField name="Expected Target Price" numFmtId="4">
      <sharedItems containsSemiMixedTypes="0" containsString="0" containsNumber="1" minValue="237.62369999999999" maxValue="14520.87"/>
    </cacheField>
    <cacheField name="Platform" numFmtId="0">
      <sharedItems count="6">
        <s v="Hdfcsky"/>
        <s v="Upstocks"/>
        <s v="Zerodha"/>
        <s v="ICICIDirect"/>
        <s v="Angelone"/>
        <s v="Grow"/>
      </sharedItems>
    </cacheField>
    <cacheField name="Intraday @BUY" numFmtId="0">
      <sharedItems containsSemiMixedTypes="0" containsString="0" containsNumber="1" containsInteger="1" minValue="190" maxValue="12600"/>
    </cacheField>
    <cacheField name="Intraday @SELL" numFmtId="0">
      <sharedItems containsSemiMixedTypes="0" containsString="0" containsNumber="1" minValue="191.5" maxValue="12350"/>
    </cacheField>
    <cacheField name="BUY Quantity" numFmtId="0">
      <sharedItems containsSemiMixedTypes="0" containsString="0" containsNumber="1" containsInteger="1" minValue="1" maxValue="550" count="17">
        <n v="20"/>
        <n v="15"/>
        <n v="14"/>
        <n v="5"/>
        <n v="250"/>
        <n v="10"/>
        <n v="1"/>
        <n v="100"/>
        <n v="50"/>
        <n v="150"/>
        <n v="30"/>
        <n v="2"/>
        <n v="550"/>
        <n v="45"/>
        <n v="3"/>
        <n v="4"/>
        <n v="11"/>
      </sharedItems>
    </cacheField>
    <cacheField name="Intraday BUY value" numFmtId="0">
      <sharedItems containsSemiMixedTypes="0" containsString="0" containsNumber="1" containsInteger="1" minValue="2300" maxValue="104500"/>
    </cacheField>
    <cacheField name="Intraday SELL value" numFmtId="0">
      <sharedItems containsSemiMixedTypes="0" containsString="0" containsNumber="1" containsInteger="1" minValue="2260" maxValue="105325"/>
    </cacheField>
    <cacheField name="Intraday profit/-Loss" numFmtId="3">
      <sharedItems containsSemiMixedTypes="0" containsString="0" containsNumber="1" containsInteger="1" minValue="-400" maxValue="2500"/>
    </cacheField>
    <cacheField name="Potential Profit" numFmtId="3">
      <sharedItems containsSemiMixedTypes="0" containsString="0" containsNumber="1" minValue="44.057999999999993" maxValue="2220"/>
    </cacheField>
    <cacheField name="P/L" numFmtId="0">
      <sharedItems count="2">
        <s v="LOSS"/>
        <s v="PROFIT"/>
      </sharedItems>
    </cacheField>
  </cacheFields>
  <extLst>
    <ext xmlns:x14="http://schemas.microsoft.com/office/spreadsheetml/2009/9/main" uri="{725AE2AE-9491-48be-B2B4-4EB974FC3084}">
      <x14:pivotCacheDefinition pivotCacheId="2062719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773.2"/>
    <n v="774.9"/>
    <n v="754.55"/>
    <n v="782.3"/>
    <n v="757.95"/>
    <n v="24.349999999999909"/>
    <n v="-3.1126166432314855"/>
    <n v="65485199"/>
    <n v="1020.5"/>
    <n v="741.05"/>
    <n v="279.45000000000005"/>
    <n v="0.2"/>
    <n v="151.59"/>
    <n v="909.54000000000008"/>
    <x v="0"/>
    <n v="770"/>
    <n v="750"/>
    <x v="0"/>
    <n v="15400"/>
    <n v="15000"/>
    <n v="-400"/>
    <n v="151.59000000000003"/>
    <x v="0"/>
  </r>
  <r>
    <x v="1"/>
    <n v="1839.9"/>
    <n v="1856.9"/>
    <n v="1818.4"/>
    <n v="1834.9"/>
    <n v="1850"/>
    <n v="-15.099999999999909"/>
    <n v="0.82293312987083267"/>
    <n v="24490425"/>
    <n v="2174.5"/>
    <n v="1660"/>
    <n v="514.5"/>
    <n v="0.25"/>
    <n v="462.5"/>
    <n v="2312.5"/>
    <x v="1"/>
    <n v="1820"/>
    <n v="1840"/>
    <x v="1"/>
    <n v="27300"/>
    <n v="27600"/>
    <n v="300"/>
    <n v="462.5"/>
    <x v="1"/>
  </r>
  <r>
    <x v="2"/>
    <n v="1401"/>
    <n v="1404.7"/>
    <n v="1345"/>
    <n v="1413.1"/>
    <n v="1348"/>
    <n v="65.099999999999909"/>
    <n v="-4.6068926473710219"/>
    <n v="23266517"/>
    <n v="1611.8"/>
    <n v="1114.8499999999999"/>
    <n v="496.95000000000005"/>
    <n v="0.3"/>
    <n v="404.4"/>
    <n v="1752.4"/>
    <x v="2"/>
    <n v="1380"/>
    <n v="1370"/>
    <x v="1"/>
    <n v="20700"/>
    <n v="20550"/>
    <n v="-150"/>
    <n v="404.40000000000009"/>
    <x v="0"/>
  </r>
  <r>
    <x v="3"/>
    <n v="1256"/>
    <n v="1260.9000000000001"/>
    <n v="1230.0999999999999"/>
    <n v="1259.7"/>
    <n v="1237.9000000000001"/>
    <n v="21.799999999999955"/>
    <n v="-1.7305707708184452"/>
    <n v="23630905"/>
    <n v="1500"/>
    <n v="1218.0999999999999"/>
    <n v="281.90000000000009"/>
    <n v="0.15"/>
    <n v="185.685"/>
    <n v="1423.585"/>
    <x v="3"/>
    <n v="1260"/>
    <n v="1250"/>
    <x v="2"/>
    <n v="17640"/>
    <n v="17500"/>
    <n v="-140"/>
    <n v="185.68499999999995"/>
    <x v="0"/>
  </r>
  <r>
    <x v="4"/>
    <n v="1051.3"/>
    <n v="1055.3"/>
    <n v="1013"/>
    <n v="1060.5999999999999"/>
    <n v="1019.2"/>
    <n v="41.399999999999864"/>
    <n v="-3.9034508768621414"/>
    <n v="20445349"/>
    <n v="1234.7"/>
    <n v="730"/>
    <n v="504.70000000000005"/>
    <n v="0.3"/>
    <n v="305.76"/>
    <n v="1324.96"/>
    <x v="3"/>
    <n v="1050"/>
    <n v="1015"/>
    <x v="3"/>
    <n v="5250"/>
    <n v="5075"/>
    <n v="-175"/>
    <n v="305.76"/>
    <x v="0"/>
  </r>
  <r>
    <x v="5"/>
    <n v="270.5"/>
    <n v="285"/>
    <n v="269.7"/>
    <n v="270.2"/>
    <n v="281.10000000000002"/>
    <n v="-10.900000000000034"/>
    <n v="4.0340488527017149"/>
    <n v="60048871"/>
    <n v="293"/>
    <n v="205"/>
    <n v="88"/>
    <n v="0.2"/>
    <n v="56.220000000000006"/>
    <n v="337.32000000000005"/>
    <x v="4"/>
    <n v="270"/>
    <n v="280"/>
    <x v="4"/>
    <n v="67500"/>
    <n v="70000"/>
    <n v="2500"/>
    <n v="56.220000000000027"/>
    <x v="1"/>
  </r>
  <r>
    <x v="6"/>
    <n v="1285.2"/>
    <n v="1294.8"/>
    <n v="1263.2"/>
    <n v="1279.0999999999999"/>
    <n v="1267.5"/>
    <n v="11.599999999999909"/>
    <n v="-0.9068876553826839"/>
    <n v="13092541"/>
    <n v="1728"/>
    <n v="1215.0999999999999"/>
    <n v="512.90000000000009"/>
    <n v="0.3"/>
    <n v="380.25"/>
    <n v="1647.75"/>
    <x v="2"/>
    <n v="1270"/>
    <n v="1285"/>
    <x v="5"/>
    <n v="12700"/>
    <n v="12850"/>
    <n v="150"/>
    <n v="380.25"/>
    <x v="1"/>
  </r>
  <r>
    <x v="7"/>
    <n v="3640"/>
    <n v="3640"/>
    <n v="3547"/>
    <n v="3649.3"/>
    <n v="3570"/>
    <n v="79.300000000000182"/>
    <n v="-2.1730194831885616"/>
    <n v="3991388"/>
    <n v="4440"/>
    <n v="2965.3"/>
    <n v="1474.6999999999998"/>
    <n v="0.4"/>
    <n v="1428"/>
    <n v="4998"/>
    <x v="2"/>
    <n v="3630"/>
    <n v="3575"/>
    <x v="6"/>
    <n v="3630"/>
    <n v="3575"/>
    <n v="-55"/>
    <n v="1428"/>
    <x v="0"/>
  </r>
  <r>
    <x v="8"/>
    <n v="1377"/>
    <n v="1407.4"/>
    <n v="1359.8"/>
    <n v="1381.3"/>
    <n v="1360.1"/>
    <n v="21.200000000000045"/>
    <n v="-1.5347860710924526"/>
    <n v="8956139"/>
    <n v="1780.1"/>
    <n v="1297.7"/>
    <n v="482.39999999999986"/>
    <n v="0.18"/>
    <n v="244.81799999999998"/>
    <n v="1604.9179999999999"/>
    <x v="5"/>
    <n v="1380"/>
    <n v="1400"/>
    <x v="3"/>
    <n v="6900"/>
    <n v="7000"/>
    <n v="100"/>
    <n v="244.81799999999998"/>
    <x v="1"/>
  </r>
  <r>
    <x v="9"/>
    <n v="2403.9"/>
    <n v="2422.1"/>
    <n v="2385"/>
    <n v="2377.4"/>
    <n v="2387.5"/>
    <n v="-10.099999999999909"/>
    <n v="0.42483385210734032"/>
    <n v="4979411"/>
    <n v="3663"/>
    <n v="2348"/>
    <n v="1315"/>
    <n v="0.25"/>
    <n v="596.875"/>
    <n v="2984.375"/>
    <x v="1"/>
    <n v="2350"/>
    <n v="2400"/>
    <x v="6"/>
    <n v="2350"/>
    <n v="2400"/>
    <n v="50"/>
    <n v="596.875"/>
    <x v="1"/>
  </r>
  <r>
    <x v="10"/>
    <n v="1209.5"/>
    <n v="1213.5"/>
    <n v="1202"/>
    <n v="1222.0999999999999"/>
    <n v="1203.8"/>
    <n v="18.299999999999955"/>
    <n v="-1.4974224695196756"/>
    <n v="9479301"/>
    <n v="1418.3"/>
    <n v="1032.3499999999999"/>
    <n v="385.95000000000005"/>
    <n v="0.16"/>
    <n v="192.608"/>
    <n v="1396.4079999999999"/>
    <x v="2"/>
    <n v="1205"/>
    <n v="1210"/>
    <x v="3"/>
    <n v="6025"/>
    <n v="6050"/>
    <n v="25"/>
    <n v="192.60799999999995"/>
    <x v="1"/>
  </r>
  <r>
    <x v="11"/>
    <n v="950"/>
    <n v="951"/>
    <n v="900"/>
    <n v="956"/>
    <n v="903"/>
    <n v="53"/>
    <n v="-5.543933054393305"/>
    <n v="12238678"/>
    <n v="1108"/>
    <n v="566.5"/>
    <n v="541.5"/>
    <n v="0.13"/>
    <n v="117.39"/>
    <n v="1020.39"/>
    <x v="4"/>
    <n v="940"/>
    <n v="905"/>
    <x v="5"/>
    <n v="9400"/>
    <n v="9050"/>
    <n v="-350"/>
    <n v="117.38999999999999"/>
    <x v="0"/>
  </r>
  <r>
    <x v="12"/>
    <n v="367.55"/>
    <n v="368.85"/>
    <n v="362.5"/>
    <n v="371.1"/>
    <n v="367.15"/>
    <n v="3.9500000000000455"/>
    <n v="-1.0644031258421034"/>
    <n v="28928069"/>
    <n v="460.38"/>
    <n v="355.25"/>
    <n v="105.13"/>
    <n v="0.12"/>
    <n v="44.057999999999993"/>
    <n v="411.20799999999997"/>
    <x v="2"/>
    <n v="365"/>
    <n v="367"/>
    <x v="7"/>
    <n v="36500"/>
    <n v="36700"/>
    <n v="200"/>
    <n v="44.057999999999993"/>
    <x v="1"/>
  </r>
  <r>
    <x v="13"/>
    <n v="3100"/>
    <n v="3105.2"/>
    <n v="3030"/>
    <n v="3128.1"/>
    <n v="3044"/>
    <n v="84.099999999999909"/>
    <n v="-2.6885329752885112"/>
    <n v="3155168"/>
    <n v="3839.9"/>
    <n v="2425"/>
    <n v="1414.9"/>
    <n v="0.22"/>
    <n v="669.68"/>
    <n v="3713.68"/>
    <x v="2"/>
    <n v="3090"/>
    <n v="3050"/>
    <x v="6"/>
    <n v="3090"/>
    <n v="3050"/>
    <n v="-40"/>
    <n v="669.67999999999984"/>
    <x v="0"/>
  </r>
  <r>
    <x v="14"/>
    <n v="12626"/>
    <n v="12646"/>
    <n v="12342"/>
    <n v="12711"/>
    <n v="12411"/>
    <n v="300"/>
    <n v="-2.3601604909133824"/>
    <n v="775339"/>
    <n v="17370"/>
    <n v="11059.45"/>
    <n v="6310.5499999999993"/>
    <n v="0.17"/>
    <n v="2109.8700000000003"/>
    <n v="14520.87"/>
    <x v="0"/>
    <n v="12600"/>
    <n v="12350"/>
    <x v="6"/>
    <n v="12600"/>
    <n v="12350"/>
    <n v="-250"/>
    <n v="2109.8700000000008"/>
    <x v="0"/>
  </r>
  <r>
    <x v="15"/>
    <n v="875"/>
    <n v="875.15"/>
    <n v="841.25"/>
    <n v="882.75"/>
    <n v="846.5"/>
    <n v="36.25"/>
    <n v="-4.1064854148966292"/>
    <n v="11282824"/>
    <n v="1102.5"/>
    <n v="787.9"/>
    <n v="314.60000000000002"/>
    <n v="0.27"/>
    <n v="228.55500000000001"/>
    <n v="1075.0550000000001"/>
    <x v="2"/>
    <n v="870"/>
    <n v="860"/>
    <x v="5"/>
    <n v="8700"/>
    <n v="8600"/>
    <n v="-100"/>
    <n v="228.55500000000006"/>
    <x v="0"/>
  </r>
  <r>
    <x v="16"/>
    <n v="237.55"/>
    <n v="239.14"/>
    <n v="232.4"/>
    <n v="242.18"/>
    <n v="232.71"/>
    <n v="9.4699999999999989"/>
    <n v="-3.9103146420018167"/>
    <n v="38767229"/>
    <n v="368.45"/>
    <n v="194.8"/>
    <n v="173.64999999999998"/>
    <n v="0.28000000000000003"/>
    <n v="65.158800000000014"/>
    <n v="297.86880000000002"/>
    <x v="0"/>
    <n v="236"/>
    <n v="233"/>
    <x v="8"/>
    <n v="11800"/>
    <n v="11650"/>
    <n v="-150"/>
    <n v="65.158800000000014"/>
    <x v="0"/>
  </r>
  <r>
    <x v="17"/>
    <n v="411.9"/>
    <n v="413.45"/>
    <n v="403.25"/>
    <n v="413.45"/>
    <n v="405.95"/>
    <n v="7.5"/>
    <n v="-1.8140041117426533"/>
    <n v="21818224"/>
    <n v="473.45"/>
    <n v="256.2"/>
    <n v="217.25"/>
    <n v="0.14000000000000001"/>
    <n v="56.833000000000006"/>
    <n v="462.78300000000002"/>
    <x v="1"/>
    <n v="412"/>
    <n v="404"/>
    <x v="0"/>
    <n v="8240"/>
    <n v="8080"/>
    <n v="-160"/>
    <n v="56.833000000000027"/>
    <x v="0"/>
  </r>
  <r>
    <x v="18"/>
    <n v="294.45"/>
    <n v="297.3"/>
    <n v="290.3"/>
    <n v="295"/>
    <n v="295.7"/>
    <n v="-0.69999999999998863"/>
    <n v="0.23728813559321646"/>
    <n v="27444747"/>
    <n v="322"/>
    <n v="250"/>
    <n v="72"/>
    <n v="0.15"/>
    <n v="44.354999999999997"/>
    <n v="340.05500000000001"/>
    <x v="1"/>
    <n v="292"/>
    <n v="295"/>
    <x v="9"/>
    <n v="43800"/>
    <n v="44250"/>
    <n v="450"/>
    <n v="44.355000000000018"/>
    <x v="1"/>
  </r>
  <r>
    <x v="19"/>
    <n v="446"/>
    <n v="448.5"/>
    <n v="441.05"/>
    <n v="443.7"/>
    <n v="445.1"/>
    <n v="-1.4000000000000341"/>
    <n v="0.31552851025468426"/>
    <n v="17184280"/>
    <n v="476"/>
    <n v="356"/>
    <n v="120"/>
    <n v="0.2"/>
    <n v="89.02000000000001"/>
    <n v="534.12"/>
    <x v="4"/>
    <n v="444"/>
    <n v="442"/>
    <x v="8"/>
    <n v="22200"/>
    <n v="22100"/>
    <n v="-100"/>
    <n v="89.019999999999982"/>
    <x v="0"/>
  </r>
  <r>
    <x v="20"/>
    <n v="379.9"/>
    <n v="379.9"/>
    <n v="374.65"/>
    <n v="378.4"/>
    <n v="376.5"/>
    <n v="1.8999999999999773"/>
    <n v="-0.50211416490485661"/>
    <n v="20263654"/>
    <n v="394.5"/>
    <n v="315.55"/>
    <n v="78.949999999999989"/>
    <n v="0.2"/>
    <n v="75.3"/>
    <n v="451.8"/>
    <x v="4"/>
    <n v="375"/>
    <n v="378"/>
    <x v="10"/>
    <n v="11250"/>
    <n v="11340"/>
    <n v="90"/>
    <n v="75.300000000000011"/>
    <x v="1"/>
  </r>
  <r>
    <x v="21"/>
    <n v="194.32"/>
    <n v="195.5"/>
    <n v="192.64"/>
    <n v="196.65"/>
    <n v="193.19"/>
    <n v="3.460000000000008"/>
    <n v="-1.7594711416221753"/>
    <n v="36938046"/>
    <n v="216.45"/>
    <n v="125.3"/>
    <n v="91.149999999999991"/>
    <n v="0.23"/>
    <n v="44.433700000000002"/>
    <n v="237.62369999999999"/>
    <x v="2"/>
    <n v="194"/>
    <n v="195"/>
    <x v="4"/>
    <n v="48500"/>
    <n v="48750"/>
    <n v="250"/>
    <n v="44.433699999999988"/>
    <x v="1"/>
  </r>
  <r>
    <x v="22"/>
    <n v="4251"/>
    <n v="4251"/>
    <n v="4091.6"/>
    <n v="4294.7"/>
    <n v="4102.1000000000004"/>
    <n v="192.59999999999945"/>
    <n v="-4.4845972943395225"/>
    <n v="1693708"/>
    <n v="6232.5"/>
    <n v="3895.2"/>
    <n v="2337.3000000000002"/>
    <n v="0.15"/>
    <n v="615.31500000000005"/>
    <n v="4717.4150000000009"/>
    <x v="0"/>
    <n v="4200"/>
    <n v="4100"/>
    <x v="6"/>
    <n v="4200"/>
    <n v="4100"/>
    <n v="-100"/>
    <n v="615.31500000000051"/>
    <x v="0"/>
  </r>
  <r>
    <x v="23"/>
    <n v="294.7"/>
    <n v="296.85000000000002"/>
    <n v="291.55"/>
    <n v="295.7"/>
    <n v="294.55"/>
    <n v="1.1499999999999773"/>
    <n v="-0.38890767669934978"/>
    <n v="22179022"/>
    <n v="444.2"/>
    <n v="288.75"/>
    <n v="155.44999999999999"/>
    <n v="0.2"/>
    <n v="58.910000000000004"/>
    <n v="353.46000000000004"/>
    <x v="2"/>
    <n v="292"/>
    <n v="294"/>
    <x v="1"/>
    <n v="4380"/>
    <n v="4410"/>
    <n v="30"/>
    <n v="58.910000000000025"/>
    <x v="1"/>
  </r>
  <r>
    <x v="24"/>
    <n v="2651"/>
    <n v="2655"/>
    <n v="2604.6"/>
    <n v="2647.8"/>
    <n v="2642.1"/>
    <n v="5.7000000000002728"/>
    <n v="-0.21527305687741796"/>
    <n v="2406056"/>
    <n v="2979"/>
    <n v="2465.5"/>
    <n v="513.5"/>
    <n v="0.2"/>
    <n v="528.41999999999996"/>
    <n v="3170.52"/>
    <x v="5"/>
    <n v="2650"/>
    <n v="2620"/>
    <x v="3"/>
    <n v="13250"/>
    <n v="13100"/>
    <n v="-150"/>
    <n v="528.42000000000007"/>
    <x v="0"/>
  </r>
  <r>
    <x v="25"/>
    <n v="2123.3000000000002"/>
    <n v="2127"/>
    <n v="2069.5"/>
    <n v="2134.8000000000002"/>
    <n v="2075"/>
    <n v="59.800000000000182"/>
    <n v="-2.8011991755668064"/>
    <n v="2789151"/>
    <n v="2750"/>
    <n v="2033.3"/>
    <n v="716.7"/>
    <n v="0.25"/>
    <n v="518.75"/>
    <n v="2593.75"/>
    <x v="2"/>
    <n v="2120"/>
    <n v="2080"/>
    <x v="11"/>
    <n v="4240"/>
    <n v="4160"/>
    <n v="-80"/>
    <n v="518.75"/>
    <x v="0"/>
  </r>
  <r>
    <x v="26"/>
    <n v="312.5"/>
    <n v="312.85000000000002"/>
    <n v="301.05"/>
    <n v="317.95"/>
    <n v="302.3"/>
    <n v="15.649999999999977"/>
    <n v="-4.9221575719452675"/>
    <n v="19009638"/>
    <n v="739.7"/>
    <n v="301.05"/>
    <n v="438.65000000000003"/>
    <n v="0.26"/>
    <n v="78.597999999999999"/>
    <n v="380.89800000000002"/>
    <x v="5"/>
    <n v="312"/>
    <n v="302"/>
    <x v="0"/>
    <n v="6240"/>
    <n v="6040"/>
    <n v="-200"/>
    <n v="78.598000000000013"/>
    <x v="0"/>
  </r>
  <r>
    <x v="27"/>
    <n v="1785"/>
    <n v="1819"/>
    <n v="1785"/>
    <n v="1795.4"/>
    <n v="1794"/>
    <n v="1.4000000000000909"/>
    <n v="-7.7977052467421801E-2"/>
    <n v="2975423"/>
    <n v="1851.2"/>
    <n v="1548"/>
    <n v="303.20000000000005"/>
    <n v="0.22"/>
    <n v="394.68"/>
    <n v="2188.6799999999998"/>
    <x v="2"/>
    <n v="1790"/>
    <n v="1805"/>
    <x v="3"/>
    <n v="8950"/>
    <n v="9025"/>
    <n v="75"/>
    <n v="394.67999999999984"/>
    <x v="1"/>
  </r>
  <r>
    <x v="28"/>
    <n v="189.05"/>
    <n v="192.29"/>
    <n v="187.9"/>
    <n v="189.05"/>
    <n v="191.35"/>
    <n v="-2.2999999999999829"/>
    <n v="1.216609362602477"/>
    <n v="26269256"/>
    <n v="274.7"/>
    <n v="187"/>
    <n v="87.699999999999989"/>
    <n v="0.25"/>
    <n v="47.837499999999999"/>
    <n v="239.1875"/>
    <x v="2"/>
    <n v="190"/>
    <n v="191.5"/>
    <x v="12"/>
    <n v="104500"/>
    <n v="105325"/>
    <n v="825"/>
    <n v="47.837500000000006"/>
    <x v="1"/>
  </r>
  <r>
    <x v="29"/>
    <n v="1880"/>
    <n v="1883.2"/>
    <n v="1816.5"/>
    <n v="1886.6"/>
    <n v="1824"/>
    <n v="62.599999999999909"/>
    <n v="-3.3181384501219076"/>
    <n v="2585257"/>
    <n v="2616.5"/>
    <n v="1813.7"/>
    <n v="802.8"/>
    <n v="0.2"/>
    <n v="364.8"/>
    <n v="2188.8000000000002"/>
    <x v="5"/>
    <n v="1875"/>
    <n v="1825"/>
    <x v="11"/>
    <n v="3750"/>
    <n v="3650"/>
    <n v="-100"/>
    <n v="364.80000000000018"/>
    <x v="0"/>
  </r>
  <r>
    <x v="30"/>
    <n v="11174"/>
    <n v="11174"/>
    <n v="10970"/>
    <n v="11204"/>
    <n v="11100"/>
    <n v="104"/>
    <n v="-0.9282399143163157"/>
    <n v="418469"/>
    <n v="13110"/>
    <n v="10325"/>
    <n v="2785"/>
    <n v="0.2"/>
    <n v="2220"/>
    <n v="13320"/>
    <x v="0"/>
    <n v="11100"/>
    <n v="11115"/>
    <x v="6"/>
    <n v="11100"/>
    <n v="11115"/>
    <n v="15"/>
    <n v="2220"/>
    <x v="1"/>
  </r>
  <r>
    <x v="31"/>
    <n v="236"/>
    <n v="236.5"/>
    <n v="231.55"/>
    <n v="237.35"/>
    <n v="232"/>
    <n v="5.3499999999999943"/>
    <n v="-2.2540551927533157"/>
    <n v="19784233"/>
    <n v="338.6"/>
    <n v="203.1"/>
    <n v="135.50000000000003"/>
    <n v="0.24"/>
    <n v="55.68"/>
    <n v="287.68"/>
    <x v="4"/>
    <n v="235"/>
    <n v="233"/>
    <x v="13"/>
    <n v="10575"/>
    <n v="10485"/>
    <n v="-90"/>
    <n v="55.680000000000007"/>
    <x v="0"/>
  </r>
  <r>
    <x v="32"/>
    <n v="3451"/>
    <n v="3505.9"/>
    <n v="3373.6"/>
    <n v="3478.9"/>
    <n v="3405"/>
    <n v="73.900000000000091"/>
    <n v="-2.1242346718790448"/>
    <n v="1288297"/>
    <n v="6261"/>
    <n v="3340.3"/>
    <n v="2920.7"/>
    <n v="0.3"/>
    <n v="1021.5"/>
    <n v="4426.5"/>
    <x v="2"/>
    <n v="3500"/>
    <n v="3405"/>
    <x v="11"/>
    <n v="7000"/>
    <n v="6810"/>
    <n v="-190"/>
    <n v="1021.5"/>
    <x v="0"/>
  </r>
  <r>
    <x v="33"/>
    <n v="1738.6"/>
    <n v="1738.6"/>
    <n v="1680.1"/>
    <n v="1746.2"/>
    <n v="1694.7"/>
    <n v="51.5"/>
    <n v="-2.9492612530065285"/>
    <n v="2522237"/>
    <n v="2195"/>
    <n v="1662.7"/>
    <n v="532.29999999999995"/>
    <n v="0.32"/>
    <n v="542.30399999999997"/>
    <n v="2237.0039999999999"/>
    <x v="2"/>
    <n v="1730"/>
    <n v="1683"/>
    <x v="11"/>
    <n v="3460"/>
    <n v="3366"/>
    <n v="-94"/>
    <n v="542.30399999999986"/>
    <x v="0"/>
  </r>
  <r>
    <x v="34"/>
    <n v="4000"/>
    <n v="4032.8"/>
    <n v="3972"/>
    <n v="4039.3"/>
    <n v="3982.1"/>
    <n v="57.200000000000273"/>
    <n v="-1.416086945757935"/>
    <n v="1040658"/>
    <n v="4378.3999999999996"/>
    <n v="2925"/>
    <n v="1453.3999999999996"/>
    <n v="0.33"/>
    <n v="1314.0930000000001"/>
    <n v="5296.1930000000002"/>
    <x v="2"/>
    <n v="4005"/>
    <n v="4012"/>
    <x v="6"/>
    <n v="4005"/>
    <n v="4012"/>
    <n v="7"/>
    <n v="1314.0930000000003"/>
    <x v="1"/>
  </r>
  <r>
    <x v="35"/>
    <n v="7510"/>
    <n v="7621"/>
    <n v="7510"/>
    <n v="7580.5"/>
    <n v="7547"/>
    <n v="33.5"/>
    <n v="-0.44192335597915705"/>
    <n v="533512"/>
    <n v="8099.5"/>
    <n v="6430.25"/>
    <n v="1669.25"/>
    <n v="0.24"/>
    <n v="1811.28"/>
    <n v="9358.2800000000007"/>
    <x v="4"/>
    <n v="7612"/>
    <n v="7550"/>
    <x v="6"/>
    <n v="7612"/>
    <n v="7550"/>
    <n v="-62"/>
    <n v="1811.2800000000007"/>
    <x v="0"/>
  </r>
  <r>
    <x v="36"/>
    <n v="6915"/>
    <n v="6916.5"/>
    <n v="6742"/>
    <n v="6992.5"/>
    <n v="6799"/>
    <n v="193.5"/>
    <n v="-2.7672506256703611"/>
    <n v="533428"/>
    <n v="8230"/>
    <n v="4999.95"/>
    <n v="3230.05"/>
    <n v="0.2"/>
    <n v="1359.8000000000002"/>
    <n v="8158.8"/>
    <x v="0"/>
    <n v="6900"/>
    <n v="6800"/>
    <x v="6"/>
    <n v="6900"/>
    <n v="6800"/>
    <n v="-100"/>
    <n v="1359.8000000000002"/>
    <x v="0"/>
  </r>
  <r>
    <x v="37"/>
    <n v="1395"/>
    <n v="1421"/>
    <n v="1385.5"/>
    <n v="1408.5"/>
    <n v="1386.7"/>
    <n v="21.799999999999955"/>
    <n v="-1.5477458288959853"/>
    <n v="2584016"/>
    <n v="1854"/>
    <n v="1264.3499999999999"/>
    <n v="589.65000000000009"/>
    <n v="0.2"/>
    <n v="277.34000000000003"/>
    <n v="1664.04"/>
    <x v="2"/>
    <n v="1390"/>
    <n v="1386"/>
    <x v="3"/>
    <n v="6950"/>
    <n v="6930"/>
    <n v="-20"/>
    <n v="277.33999999999992"/>
    <x v="0"/>
  </r>
  <r>
    <x v="38"/>
    <n v="1375"/>
    <n v="1375"/>
    <n v="1330.1"/>
    <n v="1375.9"/>
    <n v="1339.9"/>
    <n v="36"/>
    <n v="-2.6164692201468127"/>
    <n v="2667313"/>
    <n v="1584"/>
    <n v="1041.5"/>
    <n v="542.5"/>
    <n v="0.16"/>
    <n v="214.38400000000001"/>
    <n v="1554.2840000000001"/>
    <x v="3"/>
    <n v="1375"/>
    <n v="1335"/>
    <x v="11"/>
    <n v="2750"/>
    <n v="2670"/>
    <n v="-80"/>
    <n v="214.38400000000001"/>
    <x v="0"/>
  </r>
  <r>
    <x v="39"/>
    <n v="860"/>
    <n v="872.95"/>
    <n v="854.75"/>
    <n v="868.65"/>
    <n v="865"/>
    <n v="3.6499999999999773"/>
    <n v="-0.42019225234559116"/>
    <n v="4104597"/>
    <n v="1029.8"/>
    <n v="546.45000000000005"/>
    <n v="483.34999999999991"/>
    <n v="0.26"/>
    <n v="224.9"/>
    <n v="1089.9000000000001"/>
    <x v="2"/>
    <n v="860"/>
    <n v="868"/>
    <x v="5"/>
    <n v="8600"/>
    <n v="8680"/>
    <n v="80"/>
    <n v="224.90000000000009"/>
    <x v="1"/>
  </r>
  <r>
    <x v="40"/>
    <n v="1150"/>
    <n v="1150.8"/>
    <n v="1126.9000000000001"/>
    <n v="1156"/>
    <n v="1130.0999999999999"/>
    <n v="25.900000000000091"/>
    <n v="-2.2404844290657517"/>
    <n v="2750813"/>
    <n v="1284.7"/>
    <n v="905.2"/>
    <n v="379.5"/>
    <n v="0.18"/>
    <n v="203.41799999999998"/>
    <n v="1333.5179999999998"/>
    <x v="2"/>
    <n v="1150"/>
    <n v="1130"/>
    <x v="11"/>
    <n v="2300"/>
    <n v="2260"/>
    <n v="-40"/>
    <n v="203.41799999999989"/>
    <x v="0"/>
  </r>
  <r>
    <x v="41"/>
    <n v="8971.5"/>
    <n v="9004"/>
    <n v="8840"/>
    <n v="9048.5"/>
    <n v="8897.5"/>
    <n v="151"/>
    <n v="-1.6687848814720672"/>
    <n v="326675"/>
    <n v="10187"/>
    <n v="7089.35"/>
    <n v="3097.6499999999996"/>
    <n v="0.19"/>
    <n v="1690.5250000000001"/>
    <n v="10588.025"/>
    <x v="2"/>
    <n v="8995"/>
    <n v="9000"/>
    <x v="6"/>
    <n v="8995"/>
    <n v="9000"/>
    <n v="5"/>
    <n v="1690.5249999999996"/>
    <x v="1"/>
  </r>
  <r>
    <x v="42"/>
    <n v="1297"/>
    <n v="1302.9000000000001"/>
    <n v="1278.2"/>
    <n v="1300.7"/>
    <n v="1281.0999999999999"/>
    <n v="19.600000000000136"/>
    <n v="-1.5068809102790908"/>
    <n v="2165113"/>
    <n v="1379.7"/>
    <n v="1020"/>
    <n v="359.70000000000005"/>
    <n v="0.3"/>
    <n v="384.33"/>
    <n v="1665.4299999999998"/>
    <x v="2"/>
    <n v="1301"/>
    <n v="1284"/>
    <x v="3"/>
    <n v="6505"/>
    <n v="6420"/>
    <n v="-85"/>
    <n v="384.32999999999993"/>
    <x v="0"/>
  </r>
  <r>
    <x v="43"/>
    <n v="1226.5"/>
    <n v="1249.2"/>
    <n v="1226.5"/>
    <n v="1244.4000000000001"/>
    <n v="1242"/>
    <n v="2.4000000000000909"/>
    <n v="-0.19286403085825224"/>
    <n v="2220695"/>
    <n v="1673"/>
    <n v="1216.5999999999999"/>
    <n v="456.40000000000009"/>
    <n v="0.32"/>
    <n v="397.44"/>
    <n v="1639.44"/>
    <x v="1"/>
    <n v="1244"/>
    <n v="1230"/>
    <x v="3"/>
    <n v="6220"/>
    <n v="6150"/>
    <n v="-70"/>
    <n v="397.44000000000005"/>
    <x v="0"/>
  </r>
  <r>
    <x v="44"/>
    <n v="605"/>
    <n v="612.45000000000005"/>
    <n v="600"/>
    <n v="612.9"/>
    <n v="610.9"/>
    <n v="2"/>
    <n v="-0.32631750693424705"/>
    <n v="4422345"/>
    <n v="820.75"/>
    <n v="590.04999999999995"/>
    <n v="230.70000000000005"/>
    <n v="0.2"/>
    <n v="122.18"/>
    <n v="733.07999999999993"/>
    <x v="0"/>
    <n v="610"/>
    <n v="612"/>
    <x v="5"/>
    <n v="6100"/>
    <n v="6120"/>
    <n v="20"/>
    <n v="122.17999999999995"/>
    <x v="1"/>
  </r>
  <r>
    <x v="45"/>
    <n v="978.1"/>
    <n v="990.8"/>
    <n v="970.8"/>
    <n v="988.2"/>
    <n v="977"/>
    <n v="11.200000000000045"/>
    <n v="-1.1333738109694438"/>
    <n v="2557821"/>
    <n v="1314.3"/>
    <n v="933.8"/>
    <n v="380.5"/>
    <n v="0.18"/>
    <n v="175.85999999999999"/>
    <n v="1152.8599999999999"/>
    <x v="2"/>
    <n v="975"/>
    <n v="980"/>
    <x v="3"/>
    <n v="4875"/>
    <n v="4900"/>
    <n v="25"/>
    <n v="175.8599999999999"/>
    <x v="1"/>
  </r>
  <r>
    <x v="46"/>
    <n v="2246.3000000000002"/>
    <n v="2269"/>
    <n v="2201.1"/>
    <n v="2270.1999999999998"/>
    <n v="2209.1999999999998"/>
    <n v="61"/>
    <n v="-2.686987930578804"/>
    <n v="1089010"/>
    <n v="2985.7"/>
    <n v="2115"/>
    <n v="870.69999999999982"/>
    <n v="0.15"/>
    <n v="331.37999999999994"/>
    <n v="2540.58"/>
    <x v="2"/>
    <n v="2250"/>
    <n v="2210"/>
    <x v="11"/>
    <n v="4500"/>
    <n v="4420"/>
    <n v="-80"/>
    <n v="331.38000000000011"/>
    <x v="0"/>
  </r>
  <r>
    <x v="47"/>
    <n v="1204.0999999999999"/>
    <n v="1215.7"/>
    <n v="1188.3"/>
    <n v="1204.0999999999999"/>
    <n v="1194.0999999999999"/>
    <n v="10"/>
    <n v="-0.83049580599617967"/>
    <n v="2005121"/>
    <n v="1340.4"/>
    <n v="1074"/>
    <n v="266.40000000000009"/>
    <n v="0.25"/>
    <n v="298.52499999999998"/>
    <n v="1492.625"/>
    <x v="2"/>
    <n v="1200"/>
    <n v="1206"/>
    <x v="14"/>
    <n v="3600"/>
    <n v="3618"/>
    <n v="18"/>
    <n v="298.52500000000009"/>
    <x v="1"/>
  </r>
  <r>
    <x v="48"/>
    <n v="1835.2"/>
    <n v="1851.1"/>
    <n v="1828.9"/>
    <n v="1851.8"/>
    <n v="1829.2"/>
    <n v="22.599999999999909"/>
    <n v="-1.2204341721568155"/>
    <n v="1156884"/>
    <n v="2132"/>
    <n v="1430.55"/>
    <n v="701.45"/>
    <n v="0.28000000000000003"/>
    <n v="512.17600000000004"/>
    <n v="2341.3760000000002"/>
    <x v="2"/>
    <n v="1851"/>
    <n v="1836"/>
    <x v="15"/>
    <n v="7404"/>
    <n v="7344"/>
    <n v="-60"/>
    <n v="512.17600000000016"/>
    <x v="0"/>
  </r>
  <r>
    <x v="49"/>
    <n v="1049.3"/>
    <n v="1057.5"/>
    <n v="1032.7"/>
    <n v="1056.0999999999999"/>
    <n v="1043.7"/>
    <n v="12.399999999999864"/>
    <n v="-1.1741312375721866"/>
    <n v="1815831"/>
    <n v="1220.9000000000001"/>
    <n v="952.5"/>
    <n v="268.40000000000009"/>
    <n v="0.25"/>
    <n v="260.92500000000001"/>
    <n v="1304.625"/>
    <x v="3"/>
    <n v="1050"/>
    <n v="1039"/>
    <x v="16"/>
    <n v="11550"/>
    <n v="11429"/>
    <n v="-121"/>
    <n v="260.924999999999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B78EB7-85DA-470B-BB29-E30FFDDEFB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24">
    <pivotField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showAll="0"/>
    <pivotField showAll="0"/>
    <pivotField showAll="0"/>
    <pivotField dataField="1" showAll="0">
      <items count="18">
        <item x="6"/>
        <item x="11"/>
        <item x="14"/>
        <item x="15"/>
        <item x="3"/>
        <item x="5"/>
        <item x="16"/>
        <item x="2"/>
        <item x="1"/>
        <item x="0"/>
        <item x="10"/>
        <item x="13"/>
        <item x="8"/>
        <item x="7"/>
        <item x="9"/>
        <item x="4"/>
        <item x="12"/>
        <item t="default"/>
      </items>
    </pivotField>
    <pivotField showAll="0"/>
    <pivotField showAll="0"/>
    <pivotField numFmtId="3" showAll="0"/>
    <pivotField numFmtId="3" showAll="0"/>
    <pivotField showAll="0">
      <items count="3">
        <item x="0"/>
        <item h="1" x="1"/>
        <item t="default"/>
      </items>
    </pivotField>
  </pivotFields>
  <rowItems count="1">
    <i/>
  </rowItems>
  <colItems count="1">
    <i/>
  </colItems>
  <dataFields count="1">
    <dataField name="Sum of BUY Quantity" fld="18" baseField="0" baseItem="0"/>
  </dataFields>
  <formats count="4">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7E1B9E-46FB-4486-A0BB-5AF62CB8D0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U5" firstHeaderRow="1" firstDataRow="1" firstDataCol="0"/>
  <pivotFields count="24">
    <pivotField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showAll="0"/>
    <pivotField showAll="0"/>
    <pivotField showAll="0"/>
    <pivotField showAll="0"/>
    <pivotField showAll="0"/>
    <pivotField showAll="0"/>
    <pivotField numFmtId="3" showAll="0"/>
    <pivotField dataField="1" numFmtId="3" showAll="0"/>
    <pivotField showAll="0">
      <items count="3">
        <item x="0"/>
        <item h="1" x="1"/>
        <item t="default"/>
      </items>
    </pivotField>
  </pivotFields>
  <rowItems count="1">
    <i/>
  </rowItems>
  <colItems count="1">
    <i/>
  </colItems>
  <dataFields count="1">
    <dataField name="Sum of Potential Profit" fld="22" baseField="0" baseItem="0" numFmtId="5"/>
  </dataFields>
  <formats count="5">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EED72F-C17A-4102-A668-EBD1271AE4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R5" firstHeaderRow="1" firstDataRow="1" firstDataCol="0"/>
  <pivotFields count="24">
    <pivotField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showAll="0"/>
    <pivotField showAll="0"/>
    <pivotField showAll="0"/>
    <pivotField showAll="0"/>
    <pivotField showAll="0"/>
    <pivotField showAll="0"/>
    <pivotField dataField="1" numFmtId="3" showAll="0"/>
    <pivotField numFmtId="3" showAll="0"/>
    <pivotField showAll="0">
      <items count="3">
        <item x="0"/>
        <item h="1" x="1"/>
        <item t="default"/>
      </items>
    </pivotField>
  </pivotFields>
  <rowItems count="1">
    <i/>
  </rowItems>
  <colItems count="1">
    <i/>
  </colItems>
  <dataFields count="1">
    <dataField name="Sum of Intraday profit/-Loss" fld="21" baseField="0" baseItem="0" numFmtId="5"/>
  </dataFields>
  <formats count="5">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C68977-4ADA-4953-BACE-7DDA53E6D5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O5" firstHeaderRow="1" firstDataRow="1" firstDataCol="0"/>
  <pivotFields count="24">
    <pivotField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showAll="0"/>
    <pivotField showAll="0"/>
    <pivotField showAll="0"/>
    <pivotField showAll="0"/>
    <pivotField showAll="0"/>
    <pivotField dataField="1" showAll="0"/>
    <pivotField numFmtId="3" showAll="0"/>
    <pivotField numFmtId="3" showAll="0"/>
    <pivotField showAll="0">
      <items count="3">
        <item x="0"/>
        <item h="1" x="1"/>
        <item t="default"/>
      </items>
    </pivotField>
  </pivotFields>
  <rowItems count="1">
    <i/>
  </rowItems>
  <colItems count="1">
    <i/>
  </colItems>
  <dataFields count="1">
    <dataField name="Sum of Intraday SELL value" fld="20" baseField="0" baseItem="0" numFmtId="5"/>
  </dataFields>
  <formats count="4">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34B3E8-154F-4CC3-B751-F4CD7AD4AA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L5" firstHeaderRow="1" firstDataRow="1" firstDataCol="0"/>
  <pivotFields count="24">
    <pivotField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showAll="0"/>
    <pivotField showAll="0"/>
    <pivotField showAll="0"/>
    <pivotField showAll="0"/>
    <pivotField dataField="1" showAll="0"/>
    <pivotField showAll="0"/>
    <pivotField numFmtId="3" showAll="0"/>
    <pivotField numFmtId="3" showAll="0"/>
    <pivotField showAll="0">
      <items count="3">
        <item x="0"/>
        <item h="1" x="1"/>
        <item t="default"/>
      </items>
    </pivotField>
  </pivotFields>
  <rowItems count="1">
    <i/>
  </rowItems>
  <colItems count="1">
    <i/>
  </colItems>
  <dataFields count="1">
    <dataField name="Sum of Intraday BUY value" fld="19" baseField="0" baseItem="0" numFmtId="5"/>
  </dataFields>
  <formats count="4">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E29440-F538-49EA-B05B-77F2F3FE76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2" firstHeaderRow="1" firstDataRow="1" firstDataCol="1"/>
  <pivotFields count="24">
    <pivotField axis="axisRow" showAll="0" measureFilter="1">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dataField="1" numFmtId="2" showAll="0"/>
    <pivotField numFmtId="4" showAll="0"/>
    <pivotField showAll="0"/>
    <pivotField showAll="0"/>
    <pivotField showAll="0"/>
    <pivotField showAll="0"/>
    <pivotField showAll="0"/>
    <pivotField showAll="0"/>
    <pivotField numFmtId="3" showAll="0"/>
    <pivotField numFmtId="3" showAll="0"/>
    <pivotField showAll="0"/>
  </pivotFields>
  <rowFields count="1">
    <field x="0"/>
  </rowFields>
  <rowItems count="9">
    <i>
      <x v="8"/>
    </i>
    <i>
      <x v="24"/>
    </i>
    <i>
      <x v="25"/>
    </i>
    <i>
      <x v="27"/>
    </i>
    <i>
      <x v="34"/>
    </i>
    <i>
      <x v="35"/>
    </i>
    <i>
      <x v="42"/>
    </i>
    <i>
      <x v="49"/>
    </i>
    <i t="grand">
      <x/>
    </i>
  </rowItems>
  <colItems count="1">
    <i/>
  </colItems>
  <dataFields count="1">
    <dataField name="Min of Target Diff" fld="13" subtotal="min" baseField="0" baseItem="8" numFmtId="2"/>
  </dataFields>
  <chartFormats count="2">
    <chartFormat chart="3"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4BCC45-EB49-4E9A-A88C-48744D56396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3:R34" firstHeaderRow="0" firstDataRow="1" firstDataCol="1"/>
  <pivotFields count="24">
    <pivotField axis="axisRow"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dataField="1" showAll="0"/>
    <pivotField numFmtId="164" showAll="0"/>
    <pivotField numFmtId="165" showAll="0"/>
    <pivotField numFmtId="3" showAll="0"/>
    <pivotField showAll="0"/>
    <pivotField dataField="1" showAll="0"/>
    <pivotField numFmtId="4" showAll="0"/>
    <pivotField numFmtId="2" showAll="0"/>
    <pivotField numFmtId="2" showAll="0"/>
    <pivotField numFmtId="4" showAll="0"/>
    <pivotField showAll="0"/>
    <pivotField showAll="0"/>
    <pivotField showAll="0"/>
    <pivotField showAll="0"/>
    <pivotField showAll="0"/>
    <pivotField showAll="0"/>
    <pivotField numFmtId="3" showAll="0"/>
    <pivotField numFmtId="3" showAll="0"/>
    <pivotField showAll="0">
      <items count="3">
        <item x="0"/>
        <item h="1" x="1"/>
        <item t="default"/>
      </items>
    </pivotField>
  </pivotFields>
  <rowFields count="1">
    <field x="0"/>
  </rowFields>
  <rowItems count="31">
    <i>
      <x/>
    </i>
    <i>
      <x v="1"/>
    </i>
    <i>
      <x v="2"/>
    </i>
    <i>
      <x v="3"/>
    </i>
    <i>
      <x v="6"/>
    </i>
    <i>
      <x v="7"/>
    </i>
    <i>
      <x v="8"/>
    </i>
    <i>
      <x v="10"/>
    </i>
    <i>
      <x v="11"/>
    </i>
    <i>
      <x v="12"/>
    </i>
    <i>
      <x v="13"/>
    </i>
    <i>
      <x v="14"/>
    </i>
    <i>
      <x v="15"/>
    </i>
    <i>
      <x v="17"/>
    </i>
    <i>
      <x v="20"/>
    </i>
    <i>
      <x v="21"/>
    </i>
    <i>
      <x v="22"/>
    </i>
    <i>
      <x v="25"/>
    </i>
    <i>
      <x v="26"/>
    </i>
    <i>
      <x v="28"/>
    </i>
    <i>
      <x v="29"/>
    </i>
    <i>
      <x v="30"/>
    </i>
    <i>
      <x v="36"/>
    </i>
    <i>
      <x v="37"/>
    </i>
    <i>
      <x v="38"/>
    </i>
    <i>
      <x v="39"/>
    </i>
    <i>
      <x v="41"/>
    </i>
    <i>
      <x v="44"/>
    </i>
    <i>
      <x v="46"/>
    </i>
    <i>
      <x v="47"/>
    </i>
    <i t="grand">
      <x/>
    </i>
  </rowItems>
  <colFields count="1">
    <field x="-2"/>
  </colFields>
  <colItems count="2">
    <i>
      <x/>
    </i>
    <i i="1">
      <x v="1"/>
    </i>
  </colItems>
  <dataFields count="2">
    <dataField name="52W LOW" fld="10" baseField="0" baseItem="7"/>
    <dataField name="LTP" fld="5" baseField="0" baseItem="7"/>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AA8E5F-753F-4087-8366-D3E8E53C36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34" firstHeaderRow="1" firstDataRow="1" firstDataCol="1"/>
  <pivotFields count="24">
    <pivotField axis="axisRow"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dataField="1" numFmtId="3" showAll="0"/>
    <pivotField showAll="0"/>
    <pivotField showAll="0"/>
    <pivotField numFmtId="4" showAll="0"/>
    <pivotField numFmtId="2" showAll="0"/>
    <pivotField numFmtId="2" showAll="0"/>
    <pivotField numFmtId="4" showAll="0"/>
    <pivotField showAll="0"/>
    <pivotField showAll="0"/>
    <pivotField showAll="0"/>
    <pivotField showAll="0"/>
    <pivotField showAll="0"/>
    <pivotField showAll="0"/>
    <pivotField numFmtId="3" showAll="0"/>
    <pivotField numFmtId="3" showAll="0"/>
    <pivotField showAll="0">
      <items count="3">
        <item x="0"/>
        <item h="1" x="1"/>
        <item t="default"/>
      </items>
    </pivotField>
  </pivotFields>
  <rowFields count="1">
    <field x="0"/>
  </rowFields>
  <rowItems count="31">
    <i>
      <x/>
    </i>
    <i>
      <x v="1"/>
    </i>
    <i>
      <x v="2"/>
    </i>
    <i>
      <x v="3"/>
    </i>
    <i>
      <x v="6"/>
    </i>
    <i>
      <x v="7"/>
    </i>
    <i>
      <x v="8"/>
    </i>
    <i>
      <x v="10"/>
    </i>
    <i>
      <x v="11"/>
    </i>
    <i>
      <x v="12"/>
    </i>
    <i>
      <x v="13"/>
    </i>
    <i>
      <x v="14"/>
    </i>
    <i>
      <x v="15"/>
    </i>
    <i>
      <x v="17"/>
    </i>
    <i>
      <x v="20"/>
    </i>
    <i>
      <x v="21"/>
    </i>
    <i>
      <x v="22"/>
    </i>
    <i>
      <x v="25"/>
    </i>
    <i>
      <x v="26"/>
    </i>
    <i>
      <x v="28"/>
    </i>
    <i>
      <x v="29"/>
    </i>
    <i>
      <x v="30"/>
    </i>
    <i>
      <x v="36"/>
    </i>
    <i>
      <x v="37"/>
    </i>
    <i>
      <x v="38"/>
    </i>
    <i>
      <x v="39"/>
    </i>
    <i>
      <x v="41"/>
    </i>
    <i>
      <x v="44"/>
    </i>
    <i>
      <x v="46"/>
    </i>
    <i>
      <x v="47"/>
    </i>
    <i t="grand">
      <x/>
    </i>
  </rowItems>
  <colItems count="1">
    <i/>
  </colItems>
  <dataFields count="1">
    <dataField name="VOLUME CHANGE" fld="8" subtotal="max" baseField="0" baseItem="0" numFmtId="3"/>
  </dataFields>
  <chartFormats count="53">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9"/>
          </reference>
        </references>
      </pivotArea>
    </chartFormat>
    <chartFormat chart="3" format="14">
      <pivotArea type="data" outline="0" fieldPosition="0">
        <references count="2">
          <reference field="4294967294" count="1" selected="0">
            <x v="0"/>
          </reference>
          <reference field="0" count="1" selected="0">
            <x v="14"/>
          </reference>
        </references>
      </pivotArea>
    </chartFormat>
    <chartFormat chart="3" format="15">
      <pivotArea type="data" outline="0" fieldPosition="0">
        <references count="2">
          <reference field="4294967294" count="1" selected="0">
            <x v="0"/>
          </reference>
          <reference field="0" count="1" selected="0">
            <x v="17"/>
          </reference>
        </references>
      </pivotArea>
    </chartFormat>
    <chartFormat chart="3" format="16">
      <pivotArea type="data" outline="0" fieldPosition="0">
        <references count="2">
          <reference field="4294967294" count="1" selected="0">
            <x v="0"/>
          </reference>
          <reference field="0" count="1" selected="0">
            <x v="21"/>
          </reference>
        </references>
      </pivotArea>
    </chartFormat>
    <chartFormat chart="3" format="17">
      <pivotArea type="data" outline="0" fieldPosition="0">
        <references count="2">
          <reference field="4294967294" count="1" selected="0">
            <x v="0"/>
          </reference>
          <reference field="0" count="1" selected="0">
            <x v="27"/>
          </reference>
        </references>
      </pivotArea>
    </chartFormat>
    <chartFormat chart="3" format="18">
      <pivotArea type="data" outline="0" fieldPosition="0">
        <references count="2">
          <reference field="4294967294" count="1" selected="0">
            <x v="0"/>
          </reference>
          <reference field="0" count="1" selected="0">
            <x v="34"/>
          </reference>
        </references>
      </pivotArea>
    </chartFormat>
    <chartFormat chart="3" format="19">
      <pivotArea type="data" outline="0" fieldPosition="0">
        <references count="2">
          <reference field="4294967294" count="1" selected="0">
            <x v="0"/>
          </reference>
          <reference field="0" count="1" selected="0">
            <x v="35"/>
          </reference>
        </references>
      </pivotArea>
    </chartFormat>
    <chartFormat chart="3" format="20">
      <pivotArea type="data" outline="0" fieldPosition="0">
        <references count="2">
          <reference field="4294967294" count="1" selected="0">
            <x v="0"/>
          </reference>
          <reference field="0" count="1" selected="0">
            <x v="36"/>
          </reference>
        </references>
      </pivotArea>
    </chartFormat>
    <chartFormat chart="3" format="21">
      <pivotArea type="data" outline="0" fieldPosition="0">
        <references count="2">
          <reference field="4294967294" count="1" selected="0">
            <x v="0"/>
          </reference>
          <reference field="0" count="1" selected="0">
            <x v="42"/>
          </reference>
        </references>
      </pivotArea>
    </chartFormat>
    <chartFormat chart="3" format="22">
      <pivotArea type="data" outline="0" fieldPosition="0">
        <references count="2">
          <reference field="4294967294" count="1" selected="0">
            <x v="0"/>
          </reference>
          <reference field="0" count="1" selected="0">
            <x v="49"/>
          </reference>
        </references>
      </pivotArea>
    </chartFormat>
    <chartFormat chart="7" format="34" series="1">
      <pivotArea type="data" outline="0" fieldPosition="0">
        <references count="1">
          <reference field="4294967294" count="1" selected="0">
            <x v="0"/>
          </reference>
        </references>
      </pivotArea>
    </chartFormat>
    <chartFormat chart="7" format="35">
      <pivotArea type="data" outline="0" fieldPosition="0">
        <references count="2">
          <reference field="4294967294" count="1" selected="0">
            <x v="0"/>
          </reference>
          <reference field="0" count="1" selected="0">
            <x v="9"/>
          </reference>
        </references>
      </pivotArea>
    </chartFormat>
    <chartFormat chart="7" format="36">
      <pivotArea type="data" outline="0" fieldPosition="0">
        <references count="2">
          <reference field="4294967294" count="1" selected="0">
            <x v="0"/>
          </reference>
          <reference field="0" count="1" selected="0">
            <x v="14"/>
          </reference>
        </references>
      </pivotArea>
    </chartFormat>
    <chartFormat chart="7" format="37">
      <pivotArea type="data" outline="0" fieldPosition="0">
        <references count="2">
          <reference field="4294967294" count="1" selected="0">
            <x v="0"/>
          </reference>
          <reference field="0" count="1" selected="0">
            <x v="17"/>
          </reference>
        </references>
      </pivotArea>
    </chartFormat>
    <chartFormat chart="7" format="38">
      <pivotArea type="data" outline="0" fieldPosition="0">
        <references count="2">
          <reference field="4294967294" count="1" selected="0">
            <x v="0"/>
          </reference>
          <reference field="0" count="1" selected="0">
            <x v="21"/>
          </reference>
        </references>
      </pivotArea>
    </chartFormat>
    <chartFormat chart="7" format="39">
      <pivotArea type="data" outline="0" fieldPosition="0">
        <references count="2">
          <reference field="4294967294" count="1" selected="0">
            <x v="0"/>
          </reference>
          <reference field="0" count="1" selected="0">
            <x v="27"/>
          </reference>
        </references>
      </pivotArea>
    </chartFormat>
    <chartFormat chart="7" format="40">
      <pivotArea type="data" outline="0" fieldPosition="0">
        <references count="2">
          <reference field="4294967294" count="1" selected="0">
            <x v="0"/>
          </reference>
          <reference field="0" count="1" selected="0">
            <x v="34"/>
          </reference>
        </references>
      </pivotArea>
    </chartFormat>
    <chartFormat chart="7" format="41">
      <pivotArea type="data" outline="0" fieldPosition="0">
        <references count="2">
          <reference field="4294967294" count="1" selected="0">
            <x v="0"/>
          </reference>
          <reference field="0" count="1" selected="0">
            <x v="35"/>
          </reference>
        </references>
      </pivotArea>
    </chartFormat>
    <chartFormat chart="7" format="42">
      <pivotArea type="data" outline="0" fieldPosition="0">
        <references count="2">
          <reference field="4294967294" count="1" selected="0">
            <x v="0"/>
          </reference>
          <reference field="0" count="1" selected="0">
            <x v="36"/>
          </reference>
        </references>
      </pivotArea>
    </chartFormat>
    <chartFormat chart="7" format="43">
      <pivotArea type="data" outline="0" fieldPosition="0">
        <references count="2">
          <reference field="4294967294" count="1" selected="0">
            <x v="0"/>
          </reference>
          <reference field="0" count="1" selected="0">
            <x v="42"/>
          </reference>
        </references>
      </pivotArea>
    </chartFormat>
    <chartFormat chart="7" format="44">
      <pivotArea type="data" outline="0" fieldPosition="0">
        <references count="2">
          <reference field="4294967294" count="1" selected="0">
            <x v="0"/>
          </reference>
          <reference field="0" count="1" selected="0">
            <x v="49"/>
          </reference>
        </references>
      </pivotArea>
    </chartFormat>
    <chartFormat chart="7" format="45">
      <pivotArea type="data" outline="0" fieldPosition="0">
        <references count="2">
          <reference field="4294967294" count="1" selected="0">
            <x v="0"/>
          </reference>
          <reference field="0" count="1" selected="0">
            <x v="3"/>
          </reference>
        </references>
      </pivotArea>
    </chartFormat>
    <chartFormat chart="7" format="46">
      <pivotArea type="data" outline="0" fieldPosition="0">
        <references count="2">
          <reference field="4294967294" count="1" selected="0">
            <x v="0"/>
          </reference>
          <reference field="0" count="1" selected="0">
            <x v="4"/>
          </reference>
        </references>
      </pivotArea>
    </chartFormat>
    <chartFormat chart="7" format="47">
      <pivotArea type="data" outline="0" fieldPosition="0">
        <references count="2">
          <reference field="4294967294" count="1" selected="0">
            <x v="0"/>
          </reference>
          <reference field="0" count="1" selected="0">
            <x v="5"/>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 chart="3" format="24">
      <pivotArea type="data" outline="0" fieldPosition="0">
        <references count="2">
          <reference field="4294967294" count="1" selected="0">
            <x v="0"/>
          </reference>
          <reference field="0" count="1" selected="0">
            <x v="5"/>
          </reference>
        </references>
      </pivotArea>
    </chartFormat>
    <chartFormat chart="7" format="48">
      <pivotArea type="data" outline="0" fieldPosition="0">
        <references count="2">
          <reference field="4294967294" count="1" selected="0">
            <x v="0"/>
          </reference>
          <reference field="0" count="1" selected="0">
            <x v="0"/>
          </reference>
        </references>
      </pivotArea>
    </chartFormat>
    <chartFormat chart="7" format="49">
      <pivotArea type="data" outline="0" fieldPosition="0">
        <references count="2">
          <reference field="4294967294" count="1" selected="0">
            <x v="0"/>
          </reference>
          <reference field="0" count="1" selected="0">
            <x v="1"/>
          </reference>
        </references>
      </pivotArea>
    </chartFormat>
    <chartFormat chart="7" format="50">
      <pivotArea type="data" outline="0" fieldPosition="0">
        <references count="2">
          <reference field="4294967294" count="1" selected="0">
            <x v="0"/>
          </reference>
          <reference field="0" count="1" selected="0">
            <x v="2"/>
          </reference>
        </references>
      </pivotArea>
    </chartFormat>
    <chartFormat chart="7" format="51">
      <pivotArea type="data" outline="0" fieldPosition="0">
        <references count="2">
          <reference field="4294967294" count="1" selected="0">
            <x v="0"/>
          </reference>
          <reference field="0" count="1" selected="0">
            <x v="6"/>
          </reference>
        </references>
      </pivotArea>
    </chartFormat>
    <chartFormat chart="7" format="52">
      <pivotArea type="data" outline="0" fieldPosition="0">
        <references count="2">
          <reference field="4294967294" count="1" selected="0">
            <x v="0"/>
          </reference>
          <reference field="0" count="1" selected="0">
            <x v="7"/>
          </reference>
        </references>
      </pivotArea>
    </chartFormat>
    <chartFormat chart="7" format="53">
      <pivotArea type="data" outline="0" fieldPosition="0">
        <references count="2">
          <reference field="4294967294" count="1" selected="0">
            <x v="0"/>
          </reference>
          <reference field="0" count="1" selected="0">
            <x v="8"/>
          </reference>
        </references>
      </pivotArea>
    </chartFormat>
    <chartFormat chart="7" format="54">
      <pivotArea type="data" outline="0" fieldPosition="0">
        <references count="2">
          <reference field="4294967294" count="1" selected="0">
            <x v="0"/>
          </reference>
          <reference field="0" count="1" selected="0">
            <x v="10"/>
          </reference>
        </references>
      </pivotArea>
    </chartFormat>
    <chartFormat chart="7" format="55">
      <pivotArea type="data" outline="0" fieldPosition="0">
        <references count="2">
          <reference field="4294967294" count="1" selected="0">
            <x v="0"/>
          </reference>
          <reference field="0" count="1" selected="0">
            <x v="11"/>
          </reference>
        </references>
      </pivotArea>
    </chartFormat>
    <chartFormat chart="7" format="56">
      <pivotArea type="data" outline="0" fieldPosition="0">
        <references count="2">
          <reference field="4294967294" count="1" selected="0">
            <x v="0"/>
          </reference>
          <reference field="0" count="1" selected="0">
            <x v="12"/>
          </reference>
        </references>
      </pivotArea>
    </chartFormat>
    <chartFormat chart="7" format="57">
      <pivotArea type="data" outline="0" fieldPosition="0">
        <references count="2">
          <reference field="4294967294" count="1" selected="0">
            <x v="0"/>
          </reference>
          <reference field="0" count="1" selected="0">
            <x v="13"/>
          </reference>
        </references>
      </pivotArea>
    </chartFormat>
    <chartFormat chart="7" format="58">
      <pivotArea type="data" outline="0" fieldPosition="0">
        <references count="2">
          <reference field="4294967294" count="1" selected="0">
            <x v="0"/>
          </reference>
          <reference field="0" count="1" selected="0">
            <x v="15"/>
          </reference>
        </references>
      </pivotArea>
    </chartFormat>
    <chartFormat chart="7" format="59">
      <pivotArea type="data" outline="0" fieldPosition="0">
        <references count="2">
          <reference field="4294967294" count="1" selected="0">
            <x v="0"/>
          </reference>
          <reference field="0" count="1" selected="0">
            <x v="20"/>
          </reference>
        </references>
      </pivotArea>
    </chartFormat>
    <chartFormat chart="7" format="60">
      <pivotArea type="data" outline="0" fieldPosition="0">
        <references count="2">
          <reference field="4294967294" count="1" selected="0">
            <x v="0"/>
          </reference>
          <reference field="0" count="1" selected="0">
            <x v="22"/>
          </reference>
        </references>
      </pivotArea>
    </chartFormat>
    <chartFormat chart="7" format="61">
      <pivotArea type="data" outline="0" fieldPosition="0">
        <references count="2">
          <reference field="4294967294" count="1" selected="0">
            <x v="0"/>
          </reference>
          <reference field="0" count="1" selected="0">
            <x v="25"/>
          </reference>
        </references>
      </pivotArea>
    </chartFormat>
    <chartFormat chart="7" format="62">
      <pivotArea type="data" outline="0" fieldPosition="0">
        <references count="2">
          <reference field="4294967294" count="1" selected="0">
            <x v="0"/>
          </reference>
          <reference field="0" count="1" selected="0">
            <x v="26"/>
          </reference>
        </references>
      </pivotArea>
    </chartFormat>
    <chartFormat chart="7" format="63">
      <pivotArea type="data" outline="0" fieldPosition="0">
        <references count="2">
          <reference field="4294967294" count="1" selected="0">
            <x v="0"/>
          </reference>
          <reference field="0" count="1" selected="0">
            <x v="28"/>
          </reference>
        </references>
      </pivotArea>
    </chartFormat>
    <chartFormat chart="7" format="64">
      <pivotArea type="data" outline="0" fieldPosition="0">
        <references count="2">
          <reference field="4294967294" count="1" selected="0">
            <x v="0"/>
          </reference>
          <reference field="0" count="1" selected="0">
            <x v="29"/>
          </reference>
        </references>
      </pivotArea>
    </chartFormat>
    <chartFormat chart="7" format="65">
      <pivotArea type="data" outline="0" fieldPosition="0">
        <references count="2">
          <reference field="4294967294" count="1" selected="0">
            <x v="0"/>
          </reference>
          <reference field="0" count="1" selected="0">
            <x v="30"/>
          </reference>
        </references>
      </pivotArea>
    </chartFormat>
    <chartFormat chart="7" format="66">
      <pivotArea type="data" outline="0" fieldPosition="0">
        <references count="2">
          <reference field="4294967294" count="1" selected="0">
            <x v="0"/>
          </reference>
          <reference field="0" count="1" selected="0">
            <x v="37"/>
          </reference>
        </references>
      </pivotArea>
    </chartFormat>
    <chartFormat chart="7" format="67">
      <pivotArea type="data" outline="0" fieldPosition="0">
        <references count="2">
          <reference field="4294967294" count="1" selected="0">
            <x v="0"/>
          </reference>
          <reference field="0" count="1" selected="0">
            <x v="38"/>
          </reference>
        </references>
      </pivotArea>
    </chartFormat>
    <chartFormat chart="7" format="68">
      <pivotArea type="data" outline="0" fieldPosition="0">
        <references count="2">
          <reference field="4294967294" count="1" selected="0">
            <x v="0"/>
          </reference>
          <reference field="0" count="1" selected="0">
            <x v="39"/>
          </reference>
        </references>
      </pivotArea>
    </chartFormat>
    <chartFormat chart="7" format="69">
      <pivotArea type="data" outline="0" fieldPosition="0">
        <references count="2">
          <reference field="4294967294" count="1" selected="0">
            <x v="0"/>
          </reference>
          <reference field="0" count="1" selected="0">
            <x v="41"/>
          </reference>
        </references>
      </pivotArea>
    </chartFormat>
    <chartFormat chart="7" format="70">
      <pivotArea type="data" outline="0" fieldPosition="0">
        <references count="2">
          <reference field="4294967294" count="1" selected="0">
            <x v="0"/>
          </reference>
          <reference field="0" count="1" selected="0">
            <x v="44"/>
          </reference>
        </references>
      </pivotArea>
    </chartFormat>
    <chartFormat chart="7" format="71">
      <pivotArea type="data" outline="0" fieldPosition="0">
        <references count="2">
          <reference field="4294967294" count="1" selected="0">
            <x v="0"/>
          </reference>
          <reference field="0" count="1" selected="0">
            <x v="46"/>
          </reference>
        </references>
      </pivotArea>
    </chartFormat>
    <chartFormat chart="7" format="72">
      <pivotArea type="data" outline="0" fieldPosition="0">
        <references count="2">
          <reference field="4294967294" count="1" selected="0">
            <x v="0"/>
          </reference>
          <reference field="0" count="1" selected="0">
            <x v="4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6EFD74-DCAA-4CDF-A78B-DFD1894AA5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34" firstHeaderRow="1" firstDataRow="1" firstDataCol="1" rowPageCount="1" colPageCount="1"/>
  <pivotFields count="24">
    <pivotField axis="axisRow"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showAll="0"/>
    <pivotField showAll="0"/>
    <pivotField showAll="0"/>
    <pivotField showAll="0"/>
    <pivotField showAll="0"/>
    <pivotField showAll="0"/>
    <pivotField dataField="1" numFmtId="3" showAll="0"/>
    <pivotField numFmtId="3" showAll="0"/>
    <pivotField axis="axisPage" showAll="0">
      <items count="3">
        <item x="0"/>
        <item x="1"/>
        <item t="default"/>
      </items>
    </pivotField>
  </pivotFields>
  <rowFields count="1">
    <field x="0"/>
  </rowFields>
  <rowItems count="31">
    <i>
      <x/>
    </i>
    <i>
      <x v="1"/>
    </i>
    <i>
      <x v="2"/>
    </i>
    <i>
      <x v="3"/>
    </i>
    <i>
      <x v="6"/>
    </i>
    <i>
      <x v="7"/>
    </i>
    <i>
      <x v="8"/>
    </i>
    <i>
      <x v="10"/>
    </i>
    <i>
      <x v="11"/>
    </i>
    <i>
      <x v="12"/>
    </i>
    <i>
      <x v="13"/>
    </i>
    <i>
      <x v="14"/>
    </i>
    <i>
      <x v="15"/>
    </i>
    <i>
      <x v="17"/>
    </i>
    <i>
      <x v="20"/>
    </i>
    <i>
      <x v="21"/>
    </i>
    <i>
      <x v="22"/>
    </i>
    <i>
      <x v="25"/>
    </i>
    <i>
      <x v="26"/>
    </i>
    <i>
      <x v="28"/>
    </i>
    <i>
      <x v="29"/>
    </i>
    <i>
      <x v="30"/>
    </i>
    <i>
      <x v="36"/>
    </i>
    <i>
      <x v="37"/>
    </i>
    <i>
      <x v="38"/>
    </i>
    <i>
      <x v="39"/>
    </i>
    <i>
      <x v="41"/>
    </i>
    <i>
      <x v="44"/>
    </i>
    <i>
      <x v="46"/>
    </i>
    <i>
      <x v="47"/>
    </i>
    <i t="grand">
      <x/>
    </i>
  </rowItems>
  <colItems count="1">
    <i/>
  </colItems>
  <pageFields count="1">
    <pageField fld="23" item="0" hier="-1"/>
  </pageFields>
  <dataFields count="1">
    <dataField name="Sum of Intraday profit/-Loss" fld="21" baseField="0" baseItem="4"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019E3C-5DE7-45FC-B088-5A75EFFB02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34" firstHeaderRow="1" firstDataRow="1" firstDataCol="1"/>
  <pivotFields count="24">
    <pivotField axis="axisRow" showAll="0" sortType="ascending">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dataField="1" numFmtId="3" showAll="0"/>
    <pivotField showAll="0">
      <items count="3">
        <item x="0"/>
        <item h="1" x="1"/>
        <item t="default"/>
      </items>
    </pivotField>
  </pivotFields>
  <rowFields count="1">
    <field x="0"/>
  </rowFields>
  <rowItems count="31">
    <i>
      <x/>
    </i>
    <i>
      <x v="1"/>
    </i>
    <i>
      <x v="2"/>
    </i>
    <i>
      <x v="3"/>
    </i>
    <i>
      <x v="6"/>
    </i>
    <i>
      <x v="7"/>
    </i>
    <i>
      <x v="8"/>
    </i>
    <i>
      <x v="10"/>
    </i>
    <i>
      <x v="11"/>
    </i>
    <i>
      <x v="12"/>
    </i>
    <i>
      <x v="13"/>
    </i>
    <i>
      <x v="14"/>
    </i>
    <i>
      <x v="15"/>
    </i>
    <i>
      <x v="17"/>
    </i>
    <i>
      <x v="20"/>
    </i>
    <i>
      <x v="21"/>
    </i>
    <i>
      <x v="22"/>
    </i>
    <i>
      <x v="25"/>
    </i>
    <i>
      <x v="26"/>
    </i>
    <i>
      <x v="28"/>
    </i>
    <i>
      <x v="29"/>
    </i>
    <i>
      <x v="30"/>
    </i>
    <i>
      <x v="36"/>
    </i>
    <i>
      <x v="37"/>
    </i>
    <i>
      <x v="38"/>
    </i>
    <i>
      <x v="39"/>
    </i>
    <i>
      <x v="41"/>
    </i>
    <i>
      <x v="44"/>
    </i>
    <i>
      <x v="46"/>
    </i>
    <i>
      <x v="47"/>
    </i>
    <i t="grand">
      <x/>
    </i>
  </rowItems>
  <colItems count="1">
    <i/>
  </colItems>
  <dataFields count="1">
    <dataField name="%Potential Profit" fld="22" showDataAs="percentOfTotal" baseField="22" baseItem="0" numFmtId="10"/>
  </dataFields>
  <chartFormats count="2">
    <chartFormat chart="3"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1D6DFE-0952-46AD-8412-AADA1F424D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E53" firstHeaderRow="1" firstDataRow="1" firstDataCol="1"/>
  <pivotFields count="24">
    <pivotField axis="axisRow" showAll="0" sortType="descending">
      <items count="51">
        <item x="28"/>
        <item x="30"/>
        <item x="32"/>
        <item x="26"/>
        <item x="34"/>
        <item x="37"/>
        <item x="9"/>
        <item x="21"/>
        <item x="49"/>
        <item x="27"/>
        <item x="11"/>
        <item x="4"/>
        <item x="48"/>
        <item x="2"/>
        <item x="18"/>
        <item x="5"/>
        <item x="20"/>
        <item x="47"/>
        <item x="45"/>
        <item x="14"/>
        <item x="13"/>
        <item x="7"/>
        <item x="12"/>
        <item x="40"/>
        <item x="31"/>
        <item x="23"/>
        <item x="6"/>
        <item x="22"/>
        <item x="3"/>
        <item x="25"/>
        <item x="39"/>
        <item x="44"/>
        <item x="0"/>
        <item x="8"/>
        <item x="24"/>
        <item x="16"/>
        <item x="36"/>
        <item x="42"/>
        <item x="19"/>
        <item x="43"/>
        <item x="1"/>
        <item x="17"/>
        <item x="15"/>
        <item x="33"/>
        <item x="41"/>
        <item x="10"/>
        <item x="46"/>
        <item x="35"/>
        <item x="38"/>
        <item x="29"/>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showAll="0"/>
    <pivotField showAll="0"/>
    <pivotField showAll="0"/>
    <pivotField showAll="0"/>
    <pivotField showAll="0"/>
    <pivotField showAll="0"/>
    <pivotField dataField="1" numFmtId="3" showAll="0"/>
    <pivotField numFmtId="3"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Intraday profit/-Loss" fld="21" baseField="0" baseItem="0" numFmtId="3"/>
  </dataFields>
  <chartFormats count="2">
    <chartFormat chart="5"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52713A-E2B7-42E1-BC58-868B6361A0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I54" firstHeaderRow="0" firstDataRow="1" firstDataCol="1" rowPageCount="1" colPageCount="1"/>
  <pivotFields count="24">
    <pivotField axis="axisRow"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dataField="1" showAll="0"/>
    <pivotField numFmtId="164" showAll="0"/>
    <pivotField numFmtId="165" showAll="0"/>
    <pivotField numFmtId="3" showAll="0"/>
    <pivotField showAll="0"/>
    <pivotField showAll="0"/>
    <pivotField numFmtId="4" showAll="0"/>
    <pivotField numFmtId="2" showAll="0"/>
    <pivotField dataField="1" numFmtId="2" showAll="0"/>
    <pivotField dataField="1" numFmtId="4" showAll="0"/>
    <pivotField axis="axisPage" showAll="0">
      <items count="7">
        <item x="4"/>
        <item x="5"/>
        <item x="0"/>
        <item x="3"/>
        <item x="1"/>
        <item x="2"/>
        <item t="default"/>
      </items>
    </pivotField>
    <pivotField showAll="0"/>
    <pivotField showAll="0"/>
    <pivotField showAll="0"/>
    <pivotField showAll="0"/>
    <pivotField showAll="0"/>
    <pivotField numFmtId="3" showAll="0"/>
    <pivotField numFmtId="3" showAll="0"/>
    <pivotField showAll="0">
      <items count="3">
        <item x="0"/>
        <item x="1"/>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3">
    <i>
      <x/>
    </i>
    <i i="1">
      <x v="1"/>
    </i>
    <i i="2">
      <x v="2"/>
    </i>
  </colItems>
  <pageFields count="1">
    <pageField fld="15" hier="-1"/>
  </pageFields>
  <dataFields count="3">
    <dataField name="Sum of Expected Target Price" fld="14" baseField="0" baseItem="0" numFmtId="4"/>
    <dataField name="Sum of LTP _x000a_" fld="5" baseField="0" baseItem="0"/>
    <dataField name="Sum of Target Diff" fld="13" showDataAs="percentOfCol" baseField="0" baseItem="2" numFmtId="1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D3DC52-6966-4CD4-ACD1-DEDEE3B7EC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C55" firstHeaderRow="0" firstDataRow="1" firstDataCol="1" rowPageCount="2" colPageCount="1"/>
  <pivotFields count="24">
    <pivotField axis="axisRow"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axis="axisPage" showAll="0">
      <items count="7">
        <item x="4"/>
        <item x="5"/>
        <item x="0"/>
        <item x="3"/>
        <item x="1"/>
        <item x="2"/>
        <item t="default"/>
      </items>
    </pivotField>
    <pivotField showAll="0"/>
    <pivotField showAll="0"/>
    <pivotField showAll="0"/>
    <pivotField dataField="1" showAll="0"/>
    <pivotField dataField="1" showAll="0"/>
    <pivotField numFmtId="3" showAll="0"/>
    <pivotField numFmtId="3" showAll="0"/>
    <pivotField axis="axisPage" showAll="0">
      <items count="3">
        <item x="0"/>
        <item x="1"/>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pageFields count="2">
    <pageField fld="23" hier="-1"/>
    <pageField fld="15" hier="-1"/>
  </pageFields>
  <dataFields count="2">
    <dataField name="Sum of Intraday BUY value" fld="19" baseField="0" baseItem="0"/>
    <dataField name="Sum of Intraday SELL value" fld="20" baseField="0" baseItem="0"/>
  </dataFields>
  <chartFormats count="2">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6CD32D7-F9FE-4BC2-B67E-5982BF3790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2" firstHeaderRow="0" firstDataRow="1" firstDataCol="1"/>
  <pivotFields count="24">
    <pivotField axis="axisRow"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dataField="1" showAll="0"/>
    <pivotField dataField="1" showAll="0"/>
    <pivotField dataField="1"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showAll="0"/>
    <pivotField showAll="0"/>
    <pivotField showAll="0"/>
    <pivotField showAll="0"/>
    <pivotField showAll="0"/>
    <pivotField showAll="0"/>
    <pivotField numFmtId="3" showAll="0"/>
    <pivotField numFmtId="3" showAll="0"/>
    <pivotField showAll="0">
      <items count="3">
        <item x="0"/>
        <item x="1"/>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3">
    <i>
      <x/>
    </i>
    <i i="1">
      <x v="1"/>
    </i>
    <i i="2">
      <x v="2"/>
    </i>
  </colItems>
  <dataFields count="3">
    <dataField name="OPEN PRICE" fld="1" baseField="0" baseItem="0"/>
    <dataField name="DAY HIGH " fld="2" baseField="0" baseItem="0"/>
    <dataField name="DAY LOW " fld="3"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D847BE4-BC1E-42EB-B9DD-89988B806D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9:B76" firstHeaderRow="1" firstDataRow="1" firstDataCol="1"/>
  <pivotFields count="24">
    <pivotField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showAll="0"/>
    <pivotField numFmtId="164" showAll="0"/>
    <pivotField numFmtId="165" showAll="0"/>
    <pivotField numFmtId="3" showAll="0"/>
    <pivotField showAll="0"/>
    <pivotField showAll="0"/>
    <pivotField numFmtId="4" showAll="0"/>
    <pivotField numFmtId="2" showAll="0"/>
    <pivotField numFmtId="2" showAll="0"/>
    <pivotField numFmtId="4" showAll="0"/>
    <pivotField axis="axisRow" showAll="0">
      <items count="7">
        <item x="4"/>
        <item x="5"/>
        <item x="0"/>
        <item x="3"/>
        <item x="1"/>
        <item x="2"/>
        <item t="default"/>
      </items>
    </pivotField>
    <pivotField showAll="0"/>
    <pivotField showAll="0"/>
    <pivotField showAll="0"/>
    <pivotField showAll="0"/>
    <pivotField showAll="0"/>
    <pivotField numFmtId="3" showAll="0"/>
    <pivotField numFmtId="3" showAll="0"/>
    <pivotField showAll="0">
      <items count="3">
        <item x="0"/>
        <item x="1"/>
        <item t="default"/>
      </items>
    </pivotField>
  </pivotFields>
  <rowFields count="1">
    <field x="15"/>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F09150-65D8-46F6-89E8-5436C3725F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3:K54" firstHeaderRow="0" firstDataRow="1" firstDataCol="1"/>
  <pivotFields count="24">
    <pivotField axis="axisRow" showAll="0">
      <items count="51">
        <item x="29"/>
        <item x="38"/>
        <item x="35"/>
        <item x="46"/>
        <item x="10"/>
        <item x="41"/>
        <item x="33"/>
        <item x="15"/>
        <item x="17"/>
        <item x="1"/>
        <item x="43"/>
        <item x="19"/>
        <item x="42"/>
        <item x="36"/>
        <item x="16"/>
        <item x="24"/>
        <item x="8"/>
        <item x="0"/>
        <item x="44"/>
        <item x="39"/>
        <item x="25"/>
        <item x="3"/>
        <item x="22"/>
        <item x="6"/>
        <item x="23"/>
        <item x="31"/>
        <item x="40"/>
        <item x="12"/>
        <item x="7"/>
        <item x="13"/>
        <item x="14"/>
        <item x="45"/>
        <item x="47"/>
        <item x="20"/>
        <item x="5"/>
        <item x="18"/>
        <item x="2"/>
        <item x="48"/>
        <item x="4"/>
        <item x="11"/>
        <item x="27"/>
        <item x="49"/>
        <item x="21"/>
        <item x="9"/>
        <item x="37"/>
        <item x="34"/>
        <item x="26"/>
        <item x="32"/>
        <item x="30"/>
        <item x="28"/>
        <item t="default"/>
      </items>
    </pivotField>
    <pivotField showAll="0"/>
    <pivotField showAll="0"/>
    <pivotField showAll="0"/>
    <pivotField showAll="0"/>
    <pivotField dataField="1" showAll="0"/>
    <pivotField numFmtId="164" showAll="0"/>
    <pivotField numFmtId="165" showAll="0"/>
    <pivotField numFmtId="3" showAll="0"/>
    <pivotField dataField="1" showAll="0"/>
    <pivotField dataField="1" showAll="0"/>
    <pivotField numFmtId="4" showAll="0"/>
    <pivotField numFmtId="2" showAll="0"/>
    <pivotField numFmtId="2" showAll="0"/>
    <pivotField numFmtId="4" showAll="0"/>
    <pivotField showAll="0"/>
    <pivotField showAll="0"/>
    <pivotField showAll="0"/>
    <pivotField showAll="0"/>
    <pivotField showAll="0"/>
    <pivotField showAll="0"/>
    <pivotField numFmtId="3" showAll="0"/>
    <pivotField numFmtId="3" showAll="0"/>
    <pivotField showAll="0">
      <items count="3">
        <item x="0"/>
        <item x="1"/>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3">
    <i>
      <x/>
    </i>
    <i i="1">
      <x v="1"/>
    </i>
    <i i="2">
      <x v="2"/>
    </i>
  </colItems>
  <dataFields count="3">
    <dataField name="Sum of 52W H IGH_x000a_" fld="9" baseField="0" baseItem="0"/>
    <dataField name="Sum of 52W L OW_x000a_" fld="10" baseField="0" baseItem="0"/>
    <dataField name="Sum of LTP _x000a_" fld="5" baseField="0" baseItem="0"/>
  </dataFields>
  <chartFormats count="24">
    <chartFormat chart="0" format="151" series="1">
      <pivotArea type="data" outline="0" fieldPosition="0">
        <references count="1">
          <reference field="4294967294" count="1" selected="0">
            <x v="0"/>
          </reference>
        </references>
      </pivotArea>
    </chartFormat>
    <chartFormat chart="0" format="152"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2"/>
          </reference>
        </references>
      </pivotArea>
    </chartFormat>
    <chartFormat chart="0" format="155"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4"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 xr10:uid="{CCDB0A9E-AE75-4EB7-8988-5B05E5A428AF}" sourceName="SYMBOL _x000a_">
  <pivotTables>
    <pivotTable tabId="4" name="PivotTable1"/>
    <pivotTable tabId="4" name="PivotTable2"/>
    <pivotTable tabId="5" name="PivotTable3"/>
    <pivotTable tabId="5" name="PivotTable4"/>
    <pivotTable tabId="5" name="PivotTable5"/>
  </pivotTables>
  <data>
    <tabular pivotCacheId="2062719312">
      <items count="50">
        <i x="29" s="1"/>
        <i x="38" s="1"/>
        <i x="35" s="1"/>
        <i x="46" s="1"/>
        <i x="10" s="1"/>
        <i x="41" s="1"/>
        <i x="33" s="1"/>
        <i x="15" s="1"/>
        <i x="17" s="1"/>
        <i x="1" s="1"/>
        <i x="43" s="1"/>
        <i x="19" s="1"/>
        <i x="42" s="1"/>
        <i x="36" s="1"/>
        <i x="16" s="1"/>
        <i x="24" s="1"/>
        <i x="8" s="1"/>
        <i x="0" s="1"/>
        <i x="44" s="1"/>
        <i x="39" s="1"/>
        <i x="25" s="1"/>
        <i x="3" s="1"/>
        <i x="22" s="1"/>
        <i x="6" s="1"/>
        <i x="23" s="1"/>
        <i x="31" s="1"/>
        <i x="40" s="1"/>
        <i x="12" s="1"/>
        <i x="7" s="1"/>
        <i x="13" s="1"/>
        <i x="14" s="1"/>
        <i x="45" s="1"/>
        <i x="47" s="1"/>
        <i x="20" s="1"/>
        <i x="5" s="1"/>
        <i x="18" s="1"/>
        <i x="2" s="1"/>
        <i x="48" s="1"/>
        <i x="4" s="1"/>
        <i x="11" s="1"/>
        <i x="27" s="1"/>
        <i x="49" s="1"/>
        <i x="21" s="1"/>
        <i x="9" s="1"/>
        <i x="37" s="1"/>
        <i x="34" s="1"/>
        <i x="26" s="1"/>
        <i x="32" s="1"/>
        <i x="30" s="1"/>
        <i x="2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_L" xr10:uid="{735C8602-0DCA-433A-92C6-38E04FF3116C}" sourceName="P/L">
  <pivotTables>
    <pivotTable tabId="4" name="PivotTable1"/>
    <pivotTable tabId="4" name="PivotTable2"/>
    <pivotTable tabId="5" name="PivotTable3"/>
    <pivotTable tabId="5" name="PivotTable4"/>
    <pivotTable tabId="5" name="PivotTable5"/>
  </pivotTables>
  <data>
    <tabular pivotCacheId="206271931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_L1" xr10:uid="{B7964C8E-6D81-446F-9116-32846154DAEA}" sourceName="P/L">
  <pivotTables>
    <pivotTable tabId="7" name="PivotTable3"/>
    <pivotTable tabId="7" name="PivotTable5"/>
    <pivotTable tabId="7" name="PivotTable6"/>
    <pivotTable tabId="6" name="PivotTable1"/>
    <pivotTable tabId="6" name="PivotTable2"/>
    <pivotTable tabId="6" name="PivotTable3"/>
    <pivotTable tabId="7" name="PivotTable4"/>
    <pivotTable tabId="6" name="PivotTable4"/>
    <pivotTable tabId="6" name="PivotTable5"/>
  </pivotTables>
  <data>
    <tabular pivotCacheId="2062719312" sortOrder="descending">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1" xr10:uid="{B7B7C0B3-074A-455F-B4C6-B6E39BD28633}" sourceName="SYMBOL _x000a_">
  <pivotTables>
    <pivotTable tabId="7" name="PivotTable3"/>
    <pivotTable tabId="7" name="PivotTable6"/>
    <pivotTable tabId="6" name="PivotTable1"/>
    <pivotTable tabId="6" name="PivotTable2"/>
    <pivotTable tabId="6" name="PivotTable3"/>
    <pivotTable tabId="7" name="PivotTable5"/>
    <pivotTable tabId="6" name="PivotTable4"/>
    <pivotTable tabId="6" name="PivotTable5"/>
  </pivotTables>
  <data>
    <tabular pivotCacheId="2062719312">
      <items count="50">
        <i x="29" s="1"/>
        <i x="38" s="1"/>
        <i x="35" s="1"/>
        <i x="46" s="1"/>
        <i x="33" s="1"/>
        <i x="15" s="1"/>
        <i x="17" s="1"/>
        <i x="43" s="1"/>
        <i x="19" s="1"/>
        <i x="42" s="1"/>
        <i x="36" s="1"/>
        <i x="16" s="1"/>
        <i x="24" s="1"/>
        <i x="0" s="1"/>
        <i x="25" s="1"/>
        <i x="3" s="1"/>
        <i x="22" s="1"/>
        <i x="31" s="1"/>
        <i x="40" s="1"/>
        <i x="7" s="1"/>
        <i x="13" s="1"/>
        <i x="14" s="1"/>
        <i x="2" s="1"/>
        <i x="48" s="1"/>
        <i x="4" s="1"/>
        <i x="11" s="1"/>
        <i x="49" s="1"/>
        <i x="37" s="1"/>
        <i x="26" s="1"/>
        <i x="32" s="1"/>
        <i x="10" s="1" nd="1"/>
        <i x="41" s="1" nd="1"/>
        <i x="1" s="1" nd="1"/>
        <i x="8" s="1" nd="1"/>
        <i x="44" s="1" nd="1"/>
        <i x="39" s="1" nd="1"/>
        <i x="6" s="1" nd="1"/>
        <i x="23" s="1" nd="1"/>
        <i x="12" s="1" nd="1"/>
        <i x="45" s="1" nd="1"/>
        <i x="47" s="1" nd="1"/>
        <i x="20" s="1" nd="1"/>
        <i x="5" s="1" nd="1"/>
        <i x="18" s="1" nd="1"/>
        <i x="27" s="1" nd="1"/>
        <i x="21" s="1" nd="1"/>
        <i x="9" s="1" nd="1"/>
        <i x="34" s="1" nd="1"/>
        <i x="30" s="1" nd="1"/>
        <i x="2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LOSS" xr10:uid="{6FD98B56-C56D-4281-B5E5-E0DCBFB883B0}" cache="Slicer_P_L1" caption="P/L" style="SlicerStyleLight4" rowHeight="241300"/>
  <slicer name="SYMBOL _x000a_ 1" xr10:uid="{DA0D3151-2F15-499B-A592-BD2F895BE197}" cache="Slicer_SYMBOL1" caption="SYMBOL _x000a_" startItem="48"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_x000a_" xr10:uid="{1B4C8B21-E7E1-4776-991E-D824742B7C45}" cache="Slicer_SYMBOL" caption="SYMBOL _x000a_" startItem="2" rowHeight="241300"/>
  <slicer name="P/L" xr10:uid="{7970A52E-B0C4-47D0-AC90-FD79456E2620}" cache="Slicer_P_L" caption="P/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4519F3-746C-41EC-A746-46BDDFDDCBB7}" name="Table1" displayName="Table1" ref="A1:X51" totalsRowShown="0" headerRowDxfId="50" tableBorderDxfId="49">
  <autoFilter ref="A1:X51" xr:uid="{5D4519F3-746C-41EC-A746-46BDDFDDCBB7}"/>
  <sortState xmlns:xlrd2="http://schemas.microsoft.com/office/spreadsheetml/2017/richdata2" ref="A2:X51">
    <sortCondition sortBy="icon" ref="X2:X51"/>
  </sortState>
  <tableColumns count="24">
    <tableColumn id="1" xr3:uid="{A6C4A5EF-DB94-46AD-8BE4-4EF5FA99787A}" name="SYMBOL _x000a_" dataDxfId="48"/>
    <tableColumn id="2" xr3:uid="{66D05387-B21E-40DA-B858-1A2E9EE8241C}" name="OPEN _x000a_" dataDxfId="47"/>
    <tableColumn id="3" xr3:uid="{7408CBF4-4420-4F6F-8693-1C6B7C6EE7C4}" name="HIGH _x000a_" dataDxfId="46"/>
    <tableColumn id="4" xr3:uid="{46D3F9F7-E6EB-4716-9159-62E3EB578F61}" name="LOW _x000a_" dataDxfId="45"/>
    <tableColumn id="5" xr3:uid="{F394F5EF-D99A-46E4-BFD7-9D8FDA4977BB}" name="PREV. CLOSE _x000a_" dataDxfId="44"/>
    <tableColumn id="6" xr3:uid="{1FFDBA59-F9D4-4FEF-929E-276C8A8C1E6C}" name="LTP _x000a_" dataDxfId="43"/>
    <tableColumn id="7" xr3:uid="{6FC8E2D3-900E-43BF-B1BC-BECEF0EB8BBC}" name="CHANGE_x000a_" dataDxfId="42">
      <calculatedColumnFormula>E2-F2</calculatedColumnFormula>
    </tableColumn>
    <tableColumn id="8" xr3:uid="{F3EDE34A-E0F7-4CA1-827A-D319E3D87491}" name="%CHANGE_x000a_" dataDxfId="41">
      <calculatedColumnFormula>-G2/E2*100</calculatedColumnFormula>
    </tableColumn>
    <tableColumn id="9" xr3:uid="{E6DA93AE-EB71-4C7D-8D17-6A26FFDF4D39}" name="VOLUME _x000a_(shares)" dataDxfId="40"/>
    <tableColumn id="10" xr3:uid="{CA3CC1B3-8B37-4B0A-991F-EE32DB68BE73}" name="52W H IGH_x000a_" dataDxfId="39"/>
    <tableColumn id="11" xr3:uid="{33D7C684-34E6-4FC5-BBED-6AC27FAB0AED}" name="52W L OW_x000a_" dataDxfId="38"/>
    <tableColumn id="12" xr3:uid="{BD65E48B-0F84-4C02-B58A-F2379A89F952}" name="Diff" dataDxfId="37">
      <calculatedColumnFormula>J2-K2</calculatedColumnFormula>
    </tableColumn>
    <tableColumn id="13" xr3:uid="{5AE23249-B512-43FA-ACAD-CE0C0872BCB7}" name="Expected %Target" dataDxfId="36" dataCellStyle="Percent"/>
    <tableColumn id="14" xr3:uid="{2ADE9017-A022-4386-A45F-A7C4A5CB6BE7}" name="Target Diff" dataDxfId="35">
      <calculatedColumnFormula>F2*M2</calculatedColumnFormula>
    </tableColumn>
    <tableColumn id="15" xr3:uid="{E2F99790-0EF0-4A96-95AC-5F61BBBFBE1B}" name="Expected Target Price" dataDxfId="34">
      <calculatedColumnFormula>SUM(F2,N2)</calculatedColumnFormula>
    </tableColumn>
    <tableColumn id="16" xr3:uid="{04CAC45E-4AE1-458B-8189-AA28518C921D}" name="Platform" dataDxfId="33"/>
    <tableColumn id="17" xr3:uid="{C8B8A022-5308-40E6-BCB5-F2246932AC27}" name="Intraday @BUY" dataDxfId="32"/>
    <tableColumn id="18" xr3:uid="{9066B873-8A1D-4887-8016-751AC4EECAD2}" name="Intraday @SELL" dataDxfId="31"/>
    <tableColumn id="19" xr3:uid="{94F241C1-92C4-47BB-A3CF-F7AAB0BD891F}" name="BUY Quantity" dataDxfId="30"/>
    <tableColumn id="20" xr3:uid="{8031824B-6C1D-4EA5-A1ED-BA1C3FE11E33}" name="Intraday BUY value" dataDxfId="29">
      <calculatedColumnFormula>Q2*S2</calculatedColumnFormula>
    </tableColumn>
    <tableColumn id="21" xr3:uid="{4CF018A7-96FE-486A-B019-E97CC0983C56}" name="Intraday SELL value" dataDxfId="28">
      <calculatedColumnFormula>R2*S2</calculatedColumnFormula>
    </tableColumn>
    <tableColumn id="22" xr3:uid="{0C1501DA-0431-414A-B25C-BC3B11152345}" name="Intraday profit/-Loss" dataDxfId="27"/>
    <tableColumn id="24" xr3:uid="{1E0E28B1-C09A-4D37-A26C-67B85804D0AE}" name="Potential Profit" dataDxfId="26">
      <calculatedColumnFormula>Table1[[#This Row],[Expected Target Price]]-Table1[[#This Row],[LTP 
]]</calculatedColumnFormula>
    </tableColumn>
    <tableColumn id="23" xr3:uid="{B36D1371-7F63-4B87-94AC-B3D37D3318CF}" name="P/L" dataDxfId="25">
      <calculatedColumnFormula>IF(Table1[[#This Row],[Intraday profit/-Loss]]&lt;0, "LOSS", "PROFIT")</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2"/>
  <sheetViews>
    <sheetView topLeftCell="H1" workbookViewId="0">
      <pane ySplit="1" topLeftCell="A36" activePane="bottomLeft" state="frozen"/>
      <selection pane="bottomLeft" activeCell="A2" sqref="A2"/>
    </sheetView>
  </sheetViews>
  <sheetFormatPr defaultRowHeight="15" x14ac:dyDescent="0.25"/>
  <cols>
    <col min="1" max="1" width="14" bestFit="1" customWidth="1"/>
    <col min="2" max="2" width="9.28515625" customWidth="1"/>
    <col min="3" max="3" width="9.140625" customWidth="1"/>
    <col min="4" max="4" width="9.5703125" customWidth="1"/>
    <col min="5" max="5" width="10.28515625" customWidth="1"/>
    <col min="6" max="6" width="9.42578125" customWidth="1"/>
    <col min="7" max="7" width="8.7109375" customWidth="1"/>
    <col min="8" max="8" width="11.7109375" customWidth="1"/>
    <col min="9" max="9" width="10.5703125" customWidth="1"/>
    <col min="10" max="10" width="9.5703125" customWidth="1"/>
    <col min="11" max="12" width="11.7109375" customWidth="1"/>
    <col min="13" max="13" width="10.28515625" style="12" customWidth="1"/>
    <col min="14" max="14" width="12.42578125" customWidth="1"/>
    <col min="15" max="15" width="13.7109375" customWidth="1"/>
    <col min="16" max="17" width="10.85546875" customWidth="1"/>
    <col min="18" max="18" width="10.7109375" customWidth="1"/>
    <col min="19" max="19" width="11.140625" customWidth="1"/>
    <col min="20" max="20" width="12.42578125" customWidth="1"/>
    <col min="21" max="21" width="11.140625" customWidth="1"/>
    <col min="22" max="23" width="11.42578125" customWidth="1"/>
    <col min="24" max="24" width="9.140625" style="32"/>
    <col min="26" max="26" width="17.85546875" bestFit="1" customWidth="1"/>
  </cols>
  <sheetData>
    <row r="1" spans="1:24" ht="45" x14ac:dyDescent="0.25">
      <c r="A1" s="18" t="s">
        <v>56</v>
      </c>
      <c r="B1" s="11" t="s">
        <v>55</v>
      </c>
      <c r="C1" s="11" t="s">
        <v>54</v>
      </c>
      <c r="D1" s="11" t="s">
        <v>53</v>
      </c>
      <c r="E1" s="11" t="s">
        <v>52</v>
      </c>
      <c r="F1" s="11" t="s">
        <v>51</v>
      </c>
      <c r="G1" s="11" t="s">
        <v>57</v>
      </c>
      <c r="H1" s="11" t="s">
        <v>58</v>
      </c>
      <c r="I1" s="11" t="s">
        <v>50</v>
      </c>
      <c r="J1" s="13" t="s">
        <v>59</v>
      </c>
      <c r="K1" s="13" t="s">
        <v>60</v>
      </c>
      <c r="L1" s="16" t="s">
        <v>70</v>
      </c>
      <c r="M1" s="17" t="s">
        <v>63</v>
      </c>
      <c r="N1" s="16" t="s">
        <v>61</v>
      </c>
      <c r="O1" s="13" t="s">
        <v>62</v>
      </c>
      <c r="P1" s="16" t="s">
        <v>73</v>
      </c>
      <c r="Q1" s="13" t="s">
        <v>71</v>
      </c>
      <c r="R1" s="13" t="s">
        <v>72</v>
      </c>
      <c r="S1" s="16" t="s">
        <v>76</v>
      </c>
      <c r="T1" s="16" t="s">
        <v>74</v>
      </c>
      <c r="U1" s="16" t="s">
        <v>75</v>
      </c>
      <c r="V1" s="16" t="s">
        <v>97</v>
      </c>
      <c r="W1" s="16" t="s">
        <v>101</v>
      </c>
      <c r="X1" s="16" t="s">
        <v>82</v>
      </c>
    </row>
    <row r="2" spans="1:24" ht="23.25" customHeight="1" x14ac:dyDescent="0.25">
      <c r="A2" s="19" t="s">
        <v>49</v>
      </c>
      <c r="B2" s="1">
        <v>773.2</v>
      </c>
      <c r="C2" s="1">
        <v>774.9</v>
      </c>
      <c r="D2" s="1">
        <v>754.55</v>
      </c>
      <c r="E2" s="1">
        <v>782.3</v>
      </c>
      <c r="F2" s="1">
        <v>757.95</v>
      </c>
      <c r="G2" s="6">
        <f t="shared" ref="G2:G33" si="0">E2-F2</f>
        <v>24.349999999999909</v>
      </c>
      <c r="H2" s="9">
        <f t="shared" ref="H2:H33" si="1">-G2/E2*100</f>
        <v>-3.1126166432314855</v>
      </c>
      <c r="I2" s="3">
        <v>65485199</v>
      </c>
      <c r="J2" s="2">
        <v>1020.5</v>
      </c>
      <c r="K2" s="1">
        <v>741.05</v>
      </c>
      <c r="L2" s="2">
        <f t="shared" ref="L2:L33" si="2">J2-K2</f>
        <v>279.45000000000005</v>
      </c>
      <c r="M2" s="14">
        <v>0.2</v>
      </c>
      <c r="N2" s="8">
        <f t="shared" ref="N2:N33" si="3">F2*M2</f>
        <v>151.59</v>
      </c>
      <c r="O2" s="2">
        <f t="shared" ref="O2:O33" si="4">SUM(F2,N2)</f>
        <v>909.54000000000008</v>
      </c>
      <c r="P2" s="1" t="s">
        <v>68</v>
      </c>
      <c r="Q2" s="1">
        <v>770</v>
      </c>
      <c r="R2" s="1">
        <v>750</v>
      </c>
      <c r="S2" s="1">
        <v>20</v>
      </c>
      <c r="T2" s="1">
        <f t="shared" ref="T2:T33" si="5">Q2*S2</f>
        <v>15400</v>
      </c>
      <c r="U2" s="1">
        <f t="shared" ref="U2:U33" si="6">R2*S2</f>
        <v>15000</v>
      </c>
      <c r="V2" s="3">
        <f t="shared" ref="V2:V33" si="7">U2-T2</f>
        <v>-400</v>
      </c>
      <c r="W2" s="3">
        <f>Table1[[#This Row],[Expected Target Price]]-Table1[[#This Row],[LTP 
]]</f>
        <v>151.59000000000003</v>
      </c>
      <c r="X2" s="31" t="str">
        <f>IF(Table1[[#This Row],[Intraday profit/-Loss]]&lt;0, "LOSS", "PROFIT")</f>
        <v>LOSS</v>
      </c>
    </row>
    <row r="3" spans="1:24" ht="23.25" customHeight="1" x14ac:dyDescent="0.25">
      <c r="A3" s="19" t="s">
        <v>48</v>
      </c>
      <c r="B3" s="2">
        <v>1839.9</v>
      </c>
      <c r="C3" s="2">
        <v>1856.9</v>
      </c>
      <c r="D3" s="2">
        <v>1818.4</v>
      </c>
      <c r="E3" s="2">
        <v>1834.9</v>
      </c>
      <c r="F3" s="2">
        <v>1850</v>
      </c>
      <c r="G3" s="6">
        <f t="shared" si="0"/>
        <v>-15.099999999999909</v>
      </c>
      <c r="H3" s="9">
        <f t="shared" si="1"/>
        <v>0.82293312987083267</v>
      </c>
      <c r="I3" s="3">
        <v>24490425</v>
      </c>
      <c r="J3" s="2">
        <v>2174.5</v>
      </c>
      <c r="K3" s="2">
        <v>1660</v>
      </c>
      <c r="L3" s="2">
        <f t="shared" si="2"/>
        <v>514.5</v>
      </c>
      <c r="M3" s="15">
        <v>0.25</v>
      </c>
      <c r="N3" s="8">
        <f t="shared" si="3"/>
        <v>462.5</v>
      </c>
      <c r="O3" s="2">
        <f t="shared" si="4"/>
        <v>2312.5</v>
      </c>
      <c r="P3" s="1" t="s">
        <v>66</v>
      </c>
      <c r="Q3" s="1">
        <v>1820</v>
      </c>
      <c r="R3" s="1">
        <v>1840</v>
      </c>
      <c r="S3" s="1">
        <v>15</v>
      </c>
      <c r="T3" s="1">
        <f t="shared" si="5"/>
        <v>27300</v>
      </c>
      <c r="U3" s="1">
        <f t="shared" si="6"/>
        <v>27600</v>
      </c>
      <c r="V3" s="3">
        <f t="shared" si="7"/>
        <v>300</v>
      </c>
      <c r="W3" s="3">
        <f>Table1[[#This Row],[Expected Target Price]]-Table1[[#This Row],[LTP 
]]</f>
        <v>462.5</v>
      </c>
      <c r="X3" s="31" t="str">
        <f>IF(Table1[[#This Row],[Intraday profit/-Loss]]&lt;0, "LOSS", "PROFIT")</f>
        <v>PROFIT</v>
      </c>
    </row>
    <row r="4" spans="1:24" ht="23.25" customHeight="1" x14ac:dyDescent="0.25">
      <c r="A4" s="19" t="s">
        <v>47</v>
      </c>
      <c r="B4" s="2">
        <v>1401</v>
      </c>
      <c r="C4" s="2">
        <v>1404.7</v>
      </c>
      <c r="D4" s="2">
        <v>1345</v>
      </c>
      <c r="E4" s="2">
        <v>1413.1</v>
      </c>
      <c r="F4" s="2">
        <v>1348</v>
      </c>
      <c r="G4" s="6">
        <f t="shared" si="0"/>
        <v>65.099999999999909</v>
      </c>
      <c r="H4" s="9">
        <f t="shared" si="1"/>
        <v>-4.6068926473710219</v>
      </c>
      <c r="I4" s="3">
        <v>23266517</v>
      </c>
      <c r="J4" s="2">
        <v>1611.8</v>
      </c>
      <c r="K4" s="2">
        <v>1114.8499999999999</v>
      </c>
      <c r="L4" s="2">
        <f t="shared" si="2"/>
        <v>496.95000000000005</v>
      </c>
      <c r="M4" s="15">
        <v>0.3</v>
      </c>
      <c r="N4" s="8">
        <f t="shared" si="3"/>
        <v>404.4</v>
      </c>
      <c r="O4" s="2">
        <f t="shared" si="4"/>
        <v>1752.4</v>
      </c>
      <c r="P4" s="1" t="s">
        <v>64</v>
      </c>
      <c r="Q4" s="1">
        <v>1380</v>
      </c>
      <c r="R4" s="1">
        <v>1370</v>
      </c>
      <c r="S4" s="1">
        <v>15</v>
      </c>
      <c r="T4" s="1">
        <f t="shared" si="5"/>
        <v>20700</v>
      </c>
      <c r="U4" s="1">
        <f t="shared" si="6"/>
        <v>20550</v>
      </c>
      <c r="V4" s="3">
        <f t="shared" si="7"/>
        <v>-150</v>
      </c>
      <c r="W4" s="3">
        <f>Table1[[#This Row],[Expected Target Price]]-Table1[[#This Row],[LTP 
]]</f>
        <v>404.40000000000009</v>
      </c>
      <c r="X4" s="31" t="str">
        <f>IF(Table1[[#This Row],[Intraday profit/-Loss]]&lt;0, "LOSS", "PROFIT")</f>
        <v>LOSS</v>
      </c>
    </row>
    <row r="5" spans="1:24" ht="23.25" customHeight="1" x14ac:dyDescent="0.25">
      <c r="A5" s="19" t="s">
        <v>46</v>
      </c>
      <c r="B5" s="2">
        <v>1256</v>
      </c>
      <c r="C5" s="2">
        <v>1260.9000000000001</v>
      </c>
      <c r="D5" s="2">
        <v>1230.0999999999999</v>
      </c>
      <c r="E5" s="2">
        <v>1259.7</v>
      </c>
      <c r="F5" s="2">
        <v>1237.9000000000001</v>
      </c>
      <c r="G5" s="6">
        <f t="shared" si="0"/>
        <v>21.799999999999955</v>
      </c>
      <c r="H5" s="9">
        <f t="shared" si="1"/>
        <v>-1.7305707708184452</v>
      </c>
      <c r="I5" s="3">
        <v>23630905</v>
      </c>
      <c r="J5" s="2">
        <v>1500</v>
      </c>
      <c r="K5" s="2">
        <v>1218.0999999999999</v>
      </c>
      <c r="L5" s="2">
        <f t="shared" si="2"/>
        <v>281.90000000000009</v>
      </c>
      <c r="M5" s="15">
        <v>0.15</v>
      </c>
      <c r="N5" s="8">
        <f t="shared" si="3"/>
        <v>185.685</v>
      </c>
      <c r="O5" s="2">
        <f t="shared" si="4"/>
        <v>1423.585</v>
      </c>
      <c r="P5" s="1" t="s">
        <v>69</v>
      </c>
      <c r="Q5" s="1">
        <v>1260</v>
      </c>
      <c r="R5" s="1">
        <v>1250</v>
      </c>
      <c r="S5" s="1">
        <v>14</v>
      </c>
      <c r="T5" s="1">
        <f t="shared" si="5"/>
        <v>17640</v>
      </c>
      <c r="U5" s="1">
        <f t="shared" si="6"/>
        <v>17500</v>
      </c>
      <c r="V5" s="3">
        <f t="shared" si="7"/>
        <v>-140</v>
      </c>
      <c r="W5" s="3">
        <f>Table1[[#This Row],[Expected Target Price]]-Table1[[#This Row],[LTP 
]]</f>
        <v>185.68499999999995</v>
      </c>
      <c r="X5" s="31" t="str">
        <f>IF(Table1[[#This Row],[Intraday profit/-Loss]]&lt;0, "LOSS", "PROFIT")</f>
        <v>LOSS</v>
      </c>
    </row>
    <row r="6" spans="1:24" ht="23.25" customHeight="1" x14ac:dyDescent="0.25">
      <c r="A6" s="19" t="s">
        <v>45</v>
      </c>
      <c r="B6" s="2">
        <v>1051.3</v>
      </c>
      <c r="C6" s="2">
        <v>1055.3</v>
      </c>
      <c r="D6" s="2">
        <v>1013</v>
      </c>
      <c r="E6" s="2">
        <v>1060.5999999999999</v>
      </c>
      <c r="F6" s="2">
        <v>1019.2</v>
      </c>
      <c r="G6" s="6">
        <f t="shared" si="0"/>
        <v>41.399999999999864</v>
      </c>
      <c r="H6" s="9">
        <f t="shared" si="1"/>
        <v>-3.9034508768621414</v>
      </c>
      <c r="I6" s="3">
        <v>20445349</v>
      </c>
      <c r="J6" s="2">
        <v>1234.7</v>
      </c>
      <c r="K6" s="1">
        <v>730</v>
      </c>
      <c r="L6" s="2">
        <f t="shared" si="2"/>
        <v>504.70000000000005</v>
      </c>
      <c r="M6" s="15">
        <v>0.3</v>
      </c>
      <c r="N6" s="8">
        <f t="shared" si="3"/>
        <v>305.76</v>
      </c>
      <c r="O6" s="2">
        <f t="shared" si="4"/>
        <v>1324.96</v>
      </c>
      <c r="P6" s="1" t="s">
        <v>69</v>
      </c>
      <c r="Q6" s="1">
        <v>1050</v>
      </c>
      <c r="R6" s="1">
        <v>1015</v>
      </c>
      <c r="S6" s="1">
        <v>5</v>
      </c>
      <c r="T6" s="1">
        <f t="shared" si="5"/>
        <v>5250</v>
      </c>
      <c r="U6" s="1">
        <f t="shared" si="6"/>
        <v>5075</v>
      </c>
      <c r="V6" s="3">
        <f t="shared" si="7"/>
        <v>-175</v>
      </c>
      <c r="W6" s="3">
        <f>Table1[[#This Row],[Expected Target Price]]-Table1[[#This Row],[LTP 
]]</f>
        <v>305.76</v>
      </c>
      <c r="X6" s="31" t="str">
        <f>IF(Table1[[#This Row],[Intraday profit/-Loss]]&lt;0, "LOSS", "PROFIT")</f>
        <v>LOSS</v>
      </c>
    </row>
    <row r="7" spans="1:24" ht="23.25" customHeight="1" x14ac:dyDescent="0.25">
      <c r="A7" s="19" t="s">
        <v>44</v>
      </c>
      <c r="B7" s="1">
        <v>270.5</v>
      </c>
      <c r="C7" s="1">
        <v>285</v>
      </c>
      <c r="D7" s="1">
        <v>269.7</v>
      </c>
      <c r="E7" s="1">
        <v>270.2</v>
      </c>
      <c r="F7" s="1">
        <v>281.10000000000002</v>
      </c>
      <c r="G7" s="6">
        <f t="shared" si="0"/>
        <v>-10.900000000000034</v>
      </c>
      <c r="H7" s="9">
        <f t="shared" si="1"/>
        <v>4.0340488527017149</v>
      </c>
      <c r="I7" s="3">
        <v>60048871</v>
      </c>
      <c r="J7" s="1">
        <v>293</v>
      </c>
      <c r="K7" s="1">
        <v>205</v>
      </c>
      <c r="L7" s="2">
        <f t="shared" si="2"/>
        <v>88</v>
      </c>
      <c r="M7" s="15">
        <v>0.2</v>
      </c>
      <c r="N7" s="8">
        <f t="shared" si="3"/>
        <v>56.220000000000006</v>
      </c>
      <c r="O7" s="2">
        <f t="shared" si="4"/>
        <v>337.32000000000005</v>
      </c>
      <c r="P7" s="1" t="s">
        <v>67</v>
      </c>
      <c r="Q7" s="1">
        <v>270</v>
      </c>
      <c r="R7" s="1">
        <v>280</v>
      </c>
      <c r="S7" s="1">
        <v>250</v>
      </c>
      <c r="T7" s="1">
        <f t="shared" si="5"/>
        <v>67500</v>
      </c>
      <c r="U7" s="1">
        <f t="shared" si="6"/>
        <v>70000</v>
      </c>
      <c r="V7" s="3">
        <f t="shared" si="7"/>
        <v>2500</v>
      </c>
      <c r="W7" s="3">
        <f>Table1[[#This Row],[Expected Target Price]]-Table1[[#This Row],[LTP 
]]</f>
        <v>56.220000000000027</v>
      </c>
      <c r="X7" s="31" t="str">
        <f>IF(Table1[[#This Row],[Intraday profit/-Loss]]&lt;0, "LOSS", "PROFIT")</f>
        <v>PROFIT</v>
      </c>
    </row>
    <row r="8" spans="1:24" ht="23.25" customHeight="1" x14ac:dyDescent="0.25">
      <c r="A8" s="19" t="s">
        <v>43</v>
      </c>
      <c r="B8" s="2">
        <v>1285.2</v>
      </c>
      <c r="C8" s="2">
        <v>1294.8</v>
      </c>
      <c r="D8" s="2">
        <v>1263.2</v>
      </c>
      <c r="E8" s="2">
        <v>1279.0999999999999</v>
      </c>
      <c r="F8" s="2">
        <v>1267.5</v>
      </c>
      <c r="G8" s="6">
        <f t="shared" si="0"/>
        <v>11.599999999999909</v>
      </c>
      <c r="H8" s="9">
        <f t="shared" si="1"/>
        <v>-0.9068876553826839</v>
      </c>
      <c r="I8" s="3">
        <v>13092541</v>
      </c>
      <c r="J8" s="2">
        <v>1728</v>
      </c>
      <c r="K8" s="2">
        <v>1215.0999999999999</v>
      </c>
      <c r="L8" s="2">
        <f t="shared" si="2"/>
        <v>512.90000000000009</v>
      </c>
      <c r="M8" s="15">
        <v>0.3</v>
      </c>
      <c r="N8" s="8">
        <f t="shared" si="3"/>
        <v>380.25</v>
      </c>
      <c r="O8" s="2">
        <f t="shared" si="4"/>
        <v>1647.75</v>
      </c>
      <c r="P8" s="1" t="s">
        <v>64</v>
      </c>
      <c r="Q8" s="1">
        <v>1270</v>
      </c>
      <c r="R8" s="1">
        <v>1285</v>
      </c>
      <c r="S8" s="1">
        <v>10</v>
      </c>
      <c r="T8" s="1">
        <f t="shared" si="5"/>
        <v>12700</v>
      </c>
      <c r="U8" s="1">
        <f t="shared" si="6"/>
        <v>12850</v>
      </c>
      <c r="V8" s="3">
        <f t="shared" si="7"/>
        <v>150</v>
      </c>
      <c r="W8" s="3">
        <f>Table1[[#This Row],[Expected Target Price]]-Table1[[#This Row],[LTP 
]]</f>
        <v>380.25</v>
      </c>
      <c r="X8" s="31" t="str">
        <f>IF(Table1[[#This Row],[Intraday profit/-Loss]]&lt;0, "LOSS", "PROFIT")</f>
        <v>PROFIT</v>
      </c>
    </row>
    <row r="9" spans="1:24" ht="23.25" customHeight="1" x14ac:dyDescent="0.25">
      <c r="A9" s="19" t="s">
        <v>42</v>
      </c>
      <c r="B9" s="2">
        <v>3640</v>
      </c>
      <c r="C9" s="2">
        <v>3640</v>
      </c>
      <c r="D9" s="2">
        <v>3547</v>
      </c>
      <c r="E9" s="2">
        <v>3649.3</v>
      </c>
      <c r="F9" s="2">
        <v>3570</v>
      </c>
      <c r="G9" s="6">
        <f t="shared" si="0"/>
        <v>79.300000000000182</v>
      </c>
      <c r="H9" s="9">
        <f t="shared" si="1"/>
        <v>-2.1730194831885616</v>
      </c>
      <c r="I9" s="3">
        <v>3991388</v>
      </c>
      <c r="J9" s="2">
        <v>4440</v>
      </c>
      <c r="K9" s="2">
        <v>2965.3</v>
      </c>
      <c r="L9" s="2">
        <f t="shared" si="2"/>
        <v>1474.6999999999998</v>
      </c>
      <c r="M9" s="15">
        <v>0.4</v>
      </c>
      <c r="N9" s="8">
        <f t="shared" si="3"/>
        <v>1428</v>
      </c>
      <c r="O9" s="2">
        <f t="shared" si="4"/>
        <v>4998</v>
      </c>
      <c r="P9" s="1" t="s">
        <v>64</v>
      </c>
      <c r="Q9" s="1">
        <v>3630</v>
      </c>
      <c r="R9" s="1">
        <v>3575</v>
      </c>
      <c r="S9" s="1">
        <v>1</v>
      </c>
      <c r="T9" s="1">
        <f t="shared" si="5"/>
        <v>3630</v>
      </c>
      <c r="U9" s="1">
        <f t="shared" si="6"/>
        <v>3575</v>
      </c>
      <c r="V9" s="3">
        <f t="shared" si="7"/>
        <v>-55</v>
      </c>
      <c r="W9" s="3">
        <f>Table1[[#This Row],[Expected Target Price]]-Table1[[#This Row],[LTP 
]]</f>
        <v>1428</v>
      </c>
      <c r="X9" s="31" t="str">
        <f>IF(Table1[[#This Row],[Intraday profit/-Loss]]&lt;0, "LOSS", "PROFIT")</f>
        <v>LOSS</v>
      </c>
    </row>
    <row r="10" spans="1:24" ht="23.25" customHeight="1" x14ac:dyDescent="0.25">
      <c r="A10" s="19" t="s">
        <v>41</v>
      </c>
      <c r="B10" s="2">
        <v>1377</v>
      </c>
      <c r="C10" s="2">
        <v>1407.4</v>
      </c>
      <c r="D10" s="2">
        <v>1359.8</v>
      </c>
      <c r="E10" s="2">
        <v>1381.3</v>
      </c>
      <c r="F10" s="2">
        <v>1360.1</v>
      </c>
      <c r="G10" s="6">
        <f t="shared" si="0"/>
        <v>21.200000000000045</v>
      </c>
      <c r="H10" s="9">
        <f t="shared" si="1"/>
        <v>-1.5347860710924526</v>
      </c>
      <c r="I10" s="3">
        <v>8956139</v>
      </c>
      <c r="J10" s="2">
        <v>1780.1</v>
      </c>
      <c r="K10" s="2">
        <v>1297.7</v>
      </c>
      <c r="L10" s="2">
        <f t="shared" si="2"/>
        <v>482.39999999999986</v>
      </c>
      <c r="M10" s="15">
        <v>0.18</v>
      </c>
      <c r="N10" s="8">
        <f t="shared" si="3"/>
        <v>244.81799999999998</v>
      </c>
      <c r="O10" s="2">
        <f t="shared" si="4"/>
        <v>1604.9179999999999</v>
      </c>
      <c r="P10" s="1" t="s">
        <v>65</v>
      </c>
      <c r="Q10" s="1">
        <v>1380</v>
      </c>
      <c r="R10" s="1">
        <v>1400</v>
      </c>
      <c r="S10" s="1">
        <v>5</v>
      </c>
      <c r="T10" s="1">
        <f t="shared" si="5"/>
        <v>6900</v>
      </c>
      <c r="U10" s="1">
        <f t="shared" si="6"/>
        <v>7000</v>
      </c>
      <c r="V10" s="3">
        <f t="shared" si="7"/>
        <v>100</v>
      </c>
      <c r="W10" s="3">
        <f>Table1[[#This Row],[Expected Target Price]]-Table1[[#This Row],[LTP 
]]</f>
        <v>244.81799999999998</v>
      </c>
      <c r="X10" s="31" t="str">
        <f>IF(Table1[[#This Row],[Intraday profit/-Loss]]&lt;0, "LOSS", "PROFIT")</f>
        <v>PROFIT</v>
      </c>
    </row>
    <row r="11" spans="1:24" ht="23.25" customHeight="1" x14ac:dyDescent="0.25">
      <c r="A11" s="19" t="s">
        <v>40</v>
      </c>
      <c r="B11" s="2">
        <v>2403.9</v>
      </c>
      <c r="C11" s="2">
        <v>2422.1</v>
      </c>
      <c r="D11" s="2">
        <v>2385</v>
      </c>
      <c r="E11" s="2">
        <v>2377.4</v>
      </c>
      <c r="F11" s="2">
        <v>2387.5</v>
      </c>
      <c r="G11" s="6">
        <f t="shared" si="0"/>
        <v>-10.099999999999909</v>
      </c>
      <c r="H11" s="9">
        <f t="shared" si="1"/>
        <v>0.42483385210734032</v>
      </c>
      <c r="I11" s="3">
        <v>4979411</v>
      </c>
      <c r="J11" s="2">
        <v>3663</v>
      </c>
      <c r="K11" s="2">
        <v>2348</v>
      </c>
      <c r="L11" s="2">
        <f t="shared" si="2"/>
        <v>1315</v>
      </c>
      <c r="M11" s="15">
        <v>0.25</v>
      </c>
      <c r="N11" s="8">
        <f t="shared" si="3"/>
        <v>596.875</v>
      </c>
      <c r="O11" s="2">
        <f t="shared" si="4"/>
        <v>2984.375</v>
      </c>
      <c r="P11" s="1" t="s">
        <v>66</v>
      </c>
      <c r="Q11" s="1">
        <v>2350</v>
      </c>
      <c r="R11" s="1">
        <v>2400</v>
      </c>
      <c r="S11" s="1">
        <v>1</v>
      </c>
      <c r="T11" s="1">
        <f t="shared" si="5"/>
        <v>2350</v>
      </c>
      <c r="U11" s="1">
        <f t="shared" si="6"/>
        <v>2400</v>
      </c>
      <c r="V11" s="3">
        <f t="shared" si="7"/>
        <v>50</v>
      </c>
      <c r="W11" s="3">
        <f>Table1[[#This Row],[Expected Target Price]]-Table1[[#This Row],[LTP 
]]</f>
        <v>596.875</v>
      </c>
      <c r="X11" s="31" t="str">
        <f>IF(Table1[[#This Row],[Intraday profit/-Loss]]&lt;0, "LOSS", "PROFIT")</f>
        <v>PROFIT</v>
      </c>
    </row>
    <row r="12" spans="1:24" ht="23.25" customHeight="1" x14ac:dyDescent="0.25">
      <c r="A12" s="19" t="s">
        <v>39</v>
      </c>
      <c r="B12" s="2">
        <v>1209.5</v>
      </c>
      <c r="C12" s="2">
        <v>1213.5</v>
      </c>
      <c r="D12" s="2">
        <v>1202</v>
      </c>
      <c r="E12" s="2">
        <v>1222.0999999999999</v>
      </c>
      <c r="F12" s="2">
        <v>1203.8</v>
      </c>
      <c r="G12" s="6">
        <f t="shared" si="0"/>
        <v>18.299999999999955</v>
      </c>
      <c r="H12" s="9">
        <f t="shared" si="1"/>
        <v>-1.4974224695196756</v>
      </c>
      <c r="I12" s="3">
        <v>9479301</v>
      </c>
      <c r="J12" s="2">
        <v>1418.3</v>
      </c>
      <c r="K12" s="2">
        <v>1032.3499999999999</v>
      </c>
      <c r="L12" s="2">
        <f t="shared" si="2"/>
        <v>385.95000000000005</v>
      </c>
      <c r="M12" s="15">
        <v>0.16</v>
      </c>
      <c r="N12" s="8">
        <f t="shared" si="3"/>
        <v>192.608</v>
      </c>
      <c r="O12" s="2">
        <f t="shared" si="4"/>
        <v>1396.4079999999999</v>
      </c>
      <c r="P12" s="1" t="s">
        <v>64</v>
      </c>
      <c r="Q12" s="1">
        <v>1205</v>
      </c>
      <c r="R12" s="1">
        <v>1210</v>
      </c>
      <c r="S12" s="1">
        <v>5</v>
      </c>
      <c r="T12" s="1">
        <f t="shared" si="5"/>
        <v>6025</v>
      </c>
      <c r="U12" s="1">
        <f t="shared" si="6"/>
        <v>6050</v>
      </c>
      <c r="V12" s="3">
        <f t="shared" si="7"/>
        <v>25</v>
      </c>
      <c r="W12" s="3">
        <f>Table1[[#This Row],[Expected Target Price]]-Table1[[#This Row],[LTP 
]]</f>
        <v>192.60799999999995</v>
      </c>
      <c r="X12" s="31" t="str">
        <f>IF(Table1[[#This Row],[Intraday profit/-Loss]]&lt;0, "LOSS", "PROFIT")</f>
        <v>PROFIT</v>
      </c>
    </row>
    <row r="13" spans="1:24" ht="23.25" customHeight="1" x14ac:dyDescent="0.25">
      <c r="A13" s="19" t="s">
        <v>38</v>
      </c>
      <c r="B13" s="1">
        <v>950</v>
      </c>
      <c r="C13" s="1">
        <v>951</v>
      </c>
      <c r="D13" s="1">
        <v>900</v>
      </c>
      <c r="E13" s="1">
        <v>956</v>
      </c>
      <c r="F13" s="1">
        <v>903</v>
      </c>
      <c r="G13" s="6">
        <f t="shared" si="0"/>
        <v>53</v>
      </c>
      <c r="H13" s="9">
        <f t="shared" si="1"/>
        <v>-5.543933054393305</v>
      </c>
      <c r="I13" s="3">
        <v>12238678</v>
      </c>
      <c r="J13" s="2">
        <v>1108</v>
      </c>
      <c r="K13" s="1">
        <v>566.5</v>
      </c>
      <c r="L13" s="2">
        <f t="shared" si="2"/>
        <v>541.5</v>
      </c>
      <c r="M13" s="15">
        <v>0.13</v>
      </c>
      <c r="N13" s="8">
        <f t="shared" si="3"/>
        <v>117.39</v>
      </c>
      <c r="O13" s="2">
        <f t="shared" si="4"/>
        <v>1020.39</v>
      </c>
      <c r="P13" s="1" t="s">
        <v>67</v>
      </c>
      <c r="Q13" s="1">
        <v>940</v>
      </c>
      <c r="R13" s="1">
        <v>905</v>
      </c>
      <c r="S13" s="1">
        <v>10</v>
      </c>
      <c r="T13" s="1">
        <f t="shared" si="5"/>
        <v>9400</v>
      </c>
      <c r="U13" s="1">
        <f t="shared" si="6"/>
        <v>9050</v>
      </c>
      <c r="V13" s="3">
        <f t="shared" si="7"/>
        <v>-350</v>
      </c>
      <c r="W13" s="3">
        <f>Table1[[#This Row],[Expected Target Price]]-Table1[[#This Row],[LTP 
]]</f>
        <v>117.38999999999999</v>
      </c>
      <c r="X13" s="31" t="str">
        <f>IF(Table1[[#This Row],[Intraday profit/-Loss]]&lt;0, "LOSS", "PROFIT")</f>
        <v>LOSS</v>
      </c>
    </row>
    <row r="14" spans="1:24" ht="23.25" customHeight="1" x14ac:dyDescent="0.25">
      <c r="A14" s="19" t="s">
        <v>37</v>
      </c>
      <c r="B14" s="1">
        <v>367.55</v>
      </c>
      <c r="C14" s="1">
        <v>368.85</v>
      </c>
      <c r="D14" s="1">
        <v>362.5</v>
      </c>
      <c r="E14" s="1">
        <v>371.1</v>
      </c>
      <c r="F14" s="1">
        <v>367.15</v>
      </c>
      <c r="G14" s="6">
        <f t="shared" si="0"/>
        <v>3.9500000000000455</v>
      </c>
      <c r="H14" s="9">
        <f t="shared" si="1"/>
        <v>-1.0644031258421034</v>
      </c>
      <c r="I14" s="3">
        <v>28928069</v>
      </c>
      <c r="J14" s="1">
        <v>460.38</v>
      </c>
      <c r="K14" s="1">
        <v>355.25</v>
      </c>
      <c r="L14" s="2">
        <f t="shared" si="2"/>
        <v>105.13</v>
      </c>
      <c r="M14" s="15">
        <v>0.12</v>
      </c>
      <c r="N14" s="8">
        <f t="shared" si="3"/>
        <v>44.057999999999993</v>
      </c>
      <c r="O14" s="2">
        <f t="shared" si="4"/>
        <v>411.20799999999997</v>
      </c>
      <c r="P14" s="1" t="s">
        <v>64</v>
      </c>
      <c r="Q14" s="1">
        <v>365</v>
      </c>
      <c r="R14" s="1">
        <v>367</v>
      </c>
      <c r="S14" s="1">
        <v>100</v>
      </c>
      <c r="T14" s="1">
        <f t="shared" si="5"/>
        <v>36500</v>
      </c>
      <c r="U14" s="1">
        <f t="shared" si="6"/>
        <v>36700</v>
      </c>
      <c r="V14" s="3">
        <f t="shared" si="7"/>
        <v>200</v>
      </c>
      <c r="W14" s="3">
        <f>Table1[[#This Row],[Expected Target Price]]-Table1[[#This Row],[LTP 
]]</f>
        <v>44.057999999999993</v>
      </c>
      <c r="X14" s="31" t="str">
        <f>IF(Table1[[#This Row],[Intraday profit/-Loss]]&lt;0, "LOSS", "PROFIT")</f>
        <v>PROFIT</v>
      </c>
    </row>
    <row r="15" spans="1:24" ht="23.25" customHeight="1" x14ac:dyDescent="0.25">
      <c r="A15" s="19" t="s">
        <v>36</v>
      </c>
      <c r="B15" s="2">
        <v>3100</v>
      </c>
      <c r="C15" s="2">
        <v>3105.2</v>
      </c>
      <c r="D15" s="2">
        <v>3030</v>
      </c>
      <c r="E15" s="2">
        <v>3128.1</v>
      </c>
      <c r="F15" s="2">
        <v>3044</v>
      </c>
      <c r="G15" s="6">
        <f t="shared" si="0"/>
        <v>84.099999999999909</v>
      </c>
      <c r="H15" s="9">
        <f t="shared" si="1"/>
        <v>-2.6885329752885112</v>
      </c>
      <c r="I15" s="3">
        <v>3155168</v>
      </c>
      <c r="J15" s="2">
        <v>3839.9</v>
      </c>
      <c r="K15" s="2">
        <v>2425</v>
      </c>
      <c r="L15" s="2">
        <f t="shared" si="2"/>
        <v>1414.9</v>
      </c>
      <c r="M15" s="15">
        <v>0.22</v>
      </c>
      <c r="N15" s="8">
        <f t="shared" si="3"/>
        <v>669.68</v>
      </c>
      <c r="O15" s="2">
        <f t="shared" si="4"/>
        <v>3713.68</v>
      </c>
      <c r="P15" s="1" t="s">
        <v>64</v>
      </c>
      <c r="Q15" s="1">
        <v>3090</v>
      </c>
      <c r="R15" s="1">
        <v>3050</v>
      </c>
      <c r="S15" s="1">
        <v>1</v>
      </c>
      <c r="T15" s="1">
        <f t="shared" si="5"/>
        <v>3090</v>
      </c>
      <c r="U15" s="1">
        <f t="shared" si="6"/>
        <v>3050</v>
      </c>
      <c r="V15" s="3">
        <f t="shared" si="7"/>
        <v>-40</v>
      </c>
      <c r="W15" s="3">
        <f>Table1[[#This Row],[Expected Target Price]]-Table1[[#This Row],[LTP 
]]</f>
        <v>669.67999999999984</v>
      </c>
      <c r="X15" s="31" t="str">
        <f>IF(Table1[[#This Row],[Intraday profit/-Loss]]&lt;0, "LOSS", "PROFIT")</f>
        <v>LOSS</v>
      </c>
    </row>
    <row r="16" spans="1:24" ht="23.25" customHeight="1" x14ac:dyDescent="0.25">
      <c r="A16" s="19" t="s">
        <v>35</v>
      </c>
      <c r="B16" s="2">
        <v>12626</v>
      </c>
      <c r="C16" s="2">
        <v>12646</v>
      </c>
      <c r="D16" s="2">
        <v>12342</v>
      </c>
      <c r="E16" s="2">
        <v>12711</v>
      </c>
      <c r="F16" s="2">
        <v>12411</v>
      </c>
      <c r="G16" s="6">
        <f t="shared" si="0"/>
        <v>300</v>
      </c>
      <c r="H16" s="9">
        <f t="shared" si="1"/>
        <v>-2.3601604909133824</v>
      </c>
      <c r="I16" s="3">
        <v>775339</v>
      </c>
      <c r="J16" s="2">
        <v>17370</v>
      </c>
      <c r="K16" s="2">
        <v>11059.45</v>
      </c>
      <c r="L16" s="2">
        <f t="shared" si="2"/>
        <v>6310.5499999999993</v>
      </c>
      <c r="M16" s="15">
        <v>0.17</v>
      </c>
      <c r="N16" s="8">
        <f t="shared" si="3"/>
        <v>2109.8700000000003</v>
      </c>
      <c r="O16" s="2">
        <f t="shared" si="4"/>
        <v>14520.87</v>
      </c>
      <c r="P16" s="1" t="s">
        <v>68</v>
      </c>
      <c r="Q16" s="1">
        <v>12600</v>
      </c>
      <c r="R16" s="1">
        <v>12350</v>
      </c>
      <c r="S16" s="1">
        <v>1</v>
      </c>
      <c r="T16" s="1">
        <f t="shared" si="5"/>
        <v>12600</v>
      </c>
      <c r="U16" s="1">
        <f t="shared" si="6"/>
        <v>12350</v>
      </c>
      <c r="V16" s="3">
        <f t="shared" si="7"/>
        <v>-250</v>
      </c>
      <c r="W16" s="3">
        <f>Table1[[#This Row],[Expected Target Price]]-Table1[[#This Row],[LTP 
]]</f>
        <v>2109.8700000000008</v>
      </c>
      <c r="X16" s="31" t="str">
        <f>IF(Table1[[#This Row],[Intraday profit/-Loss]]&lt;0, "LOSS", "PROFIT")</f>
        <v>LOSS</v>
      </c>
    </row>
    <row r="17" spans="1:24" ht="23.25" customHeight="1" x14ac:dyDescent="0.25">
      <c r="A17" s="19" t="s">
        <v>34</v>
      </c>
      <c r="B17" s="1">
        <v>875</v>
      </c>
      <c r="C17" s="1">
        <v>875.15</v>
      </c>
      <c r="D17" s="1">
        <v>841.25</v>
      </c>
      <c r="E17" s="1">
        <v>882.75</v>
      </c>
      <c r="F17" s="1">
        <v>846.5</v>
      </c>
      <c r="G17" s="6">
        <f t="shared" si="0"/>
        <v>36.25</v>
      </c>
      <c r="H17" s="9">
        <f t="shared" si="1"/>
        <v>-4.1064854148966292</v>
      </c>
      <c r="I17" s="3">
        <v>11282824</v>
      </c>
      <c r="J17" s="2">
        <v>1102.5</v>
      </c>
      <c r="K17" s="1">
        <v>787.9</v>
      </c>
      <c r="L17" s="2">
        <f t="shared" si="2"/>
        <v>314.60000000000002</v>
      </c>
      <c r="M17" s="15">
        <v>0.27</v>
      </c>
      <c r="N17" s="8">
        <f t="shared" si="3"/>
        <v>228.55500000000001</v>
      </c>
      <c r="O17" s="2">
        <f t="shared" si="4"/>
        <v>1075.0550000000001</v>
      </c>
      <c r="P17" s="1" t="s">
        <v>64</v>
      </c>
      <c r="Q17" s="1">
        <v>870</v>
      </c>
      <c r="R17" s="1">
        <v>860</v>
      </c>
      <c r="S17" s="1">
        <v>10</v>
      </c>
      <c r="T17" s="1">
        <f t="shared" si="5"/>
        <v>8700</v>
      </c>
      <c r="U17" s="1">
        <f t="shared" si="6"/>
        <v>8600</v>
      </c>
      <c r="V17" s="3">
        <f t="shared" si="7"/>
        <v>-100</v>
      </c>
      <c r="W17" s="3">
        <f>Table1[[#This Row],[Expected Target Price]]-Table1[[#This Row],[LTP 
]]</f>
        <v>228.55500000000006</v>
      </c>
      <c r="X17" s="31" t="str">
        <f>IF(Table1[[#This Row],[Intraday profit/-Loss]]&lt;0, "LOSS", "PROFIT")</f>
        <v>LOSS</v>
      </c>
    </row>
    <row r="18" spans="1:24" ht="23.25" customHeight="1" x14ac:dyDescent="0.25">
      <c r="A18" s="19" t="s">
        <v>33</v>
      </c>
      <c r="B18" s="1">
        <v>237.55</v>
      </c>
      <c r="C18" s="1">
        <v>239.14</v>
      </c>
      <c r="D18" s="1">
        <v>232.4</v>
      </c>
      <c r="E18" s="1">
        <v>242.18</v>
      </c>
      <c r="F18" s="1">
        <v>232.71</v>
      </c>
      <c r="G18" s="6">
        <f t="shared" si="0"/>
        <v>9.4699999999999989</v>
      </c>
      <c r="H18" s="9">
        <f t="shared" si="1"/>
        <v>-3.9103146420018167</v>
      </c>
      <c r="I18" s="3">
        <v>38767229</v>
      </c>
      <c r="J18" s="1">
        <v>368.45</v>
      </c>
      <c r="K18" s="1">
        <v>194.8</v>
      </c>
      <c r="L18" s="2">
        <f t="shared" si="2"/>
        <v>173.64999999999998</v>
      </c>
      <c r="M18" s="15">
        <v>0.28000000000000003</v>
      </c>
      <c r="N18" s="8">
        <f t="shared" si="3"/>
        <v>65.158800000000014</v>
      </c>
      <c r="O18" s="2">
        <f t="shared" si="4"/>
        <v>297.86880000000002</v>
      </c>
      <c r="P18" s="1" t="s">
        <v>68</v>
      </c>
      <c r="Q18" s="1">
        <v>236</v>
      </c>
      <c r="R18" s="1">
        <v>233</v>
      </c>
      <c r="S18" s="1">
        <v>50</v>
      </c>
      <c r="T18" s="1">
        <f t="shared" si="5"/>
        <v>11800</v>
      </c>
      <c r="U18" s="1">
        <f t="shared" si="6"/>
        <v>11650</v>
      </c>
      <c r="V18" s="3">
        <f t="shared" si="7"/>
        <v>-150</v>
      </c>
      <c r="W18" s="3">
        <f>Table1[[#This Row],[Expected Target Price]]-Table1[[#This Row],[LTP 
]]</f>
        <v>65.158800000000014</v>
      </c>
      <c r="X18" s="31" t="str">
        <f>IF(Table1[[#This Row],[Intraday profit/-Loss]]&lt;0, "LOSS", "PROFIT")</f>
        <v>LOSS</v>
      </c>
    </row>
    <row r="19" spans="1:24" ht="23.25" customHeight="1" x14ac:dyDescent="0.25">
      <c r="A19" s="19" t="s">
        <v>32</v>
      </c>
      <c r="B19" s="1">
        <v>411.9</v>
      </c>
      <c r="C19" s="1">
        <v>413.45</v>
      </c>
      <c r="D19" s="1">
        <v>403.25</v>
      </c>
      <c r="E19" s="1">
        <v>413.45</v>
      </c>
      <c r="F19" s="1">
        <v>405.95</v>
      </c>
      <c r="G19" s="6">
        <f t="shared" si="0"/>
        <v>7.5</v>
      </c>
      <c r="H19" s="9">
        <f t="shared" si="1"/>
        <v>-1.8140041117426533</v>
      </c>
      <c r="I19" s="3">
        <v>21818224</v>
      </c>
      <c r="J19" s="1">
        <v>473.45</v>
      </c>
      <c r="K19" s="1">
        <v>256.2</v>
      </c>
      <c r="L19" s="2">
        <f t="shared" si="2"/>
        <v>217.25</v>
      </c>
      <c r="M19" s="15">
        <v>0.14000000000000001</v>
      </c>
      <c r="N19" s="8">
        <f t="shared" si="3"/>
        <v>56.833000000000006</v>
      </c>
      <c r="O19" s="2">
        <f t="shared" si="4"/>
        <v>462.78300000000002</v>
      </c>
      <c r="P19" s="1" t="s">
        <v>66</v>
      </c>
      <c r="Q19" s="1">
        <v>412</v>
      </c>
      <c r="R19" s="1">
        <v>404</v>
      </c>
      <c r="S19" s="1">
        <v>20</v>
      </c>
      <c r="T19" s="1">
        <f t="shared" si="5"/>
        <v>8240</v>
      </c>
      <c r="U19" s="1">
        <f t="shared" si="6"/>
        <v>8080</v>
      </c>
      <c r="V19" s="3">
        <f t="shared" si="7"/>
        <v>-160</v>
      </c>
      <c r="W19" s="3">
        <f>Table1[[#This Row],[Expected Target Price]]-Table1[[#This Row],[LTP 
]]</f>
        <v>56.833000000000027</v>
      </c>
      <c r="X19" s="31" t="str">
        <f>IF(Table1[[#This Row],[Intraday profit/-Loss]]&lt;0, "LOSS", "PROFIT")</f>
        <v>LOSS</v>
      </c>
    </row>
    <row r="20" spans="1:24" ht="23.25" customHeight="1" x14ac:dyDescent="0.25">
      <c r="A20" s="19" t="s">
        <v>31</v>
      </c>
      <c r="B20" s="1">
        <v>294.45</v>
      </c>
      <c r="C20" s="1">
        <v>297.3</v>
      </c>
      <c r="D20" s="1">
        <v>290.3</v>
      </c>
      <c r="E20" s="1">
        <v>295</v>
      </c>
      <c r="F20" s="1">
        <v>295.7</v>
      </c>
      <c r="G20" s="6">
        <f t="shared" si="0"/>
        <v>-0.69999999999998863</v>
      </c>
      <c r="H20" s="9">
        <f t="shared" si="1"/>
        <v>0.23728813559321646</v>
      </c>
      <c r="I20" s="3">
        <v>27444747</v>
      </c>
      <c r="J20" s="1">
        <v>322</v>
      </c>
      <c r="K20" s="1">
        <v>250</v>
      </c>
      <c r="L20" s="2">
        <f t="shared" si="2"/>
        <v>72</v>
      </c>
      <c r="M20" s="15">
        <v>0.15</v>
      </c>
      <c r="N20" s="8">
        <f t="shared" si="3"/>
        <v>44.354999999999997</v>
      </c>
      <c r="O20" s="2">
        <f t="shared" si="4"/>
        <v>340.05500000000001</v>
      </c>
      <c r="P20" s="1" t="s">
        <v>66</v>
      </c>
      <c r="Q20" s="1">
        <v>292</v>
      </c>
      <c r="R20" s="1">
        <v>295</v>
      </c>
      <c r="S20" s="1">
        <v>150</v>
      </c>
      <c r="T20" s="1">
        <f t="shared" si="5"/>
        <v>43800</v>
      </c>
      <c r="U20" s="1">
        <f t="shared" si="6"/>
        <v>44250</v>
      </c>
      <c r="V20" s="3">
        <f t="shared" si="7"/>
        <v>450</v>
      </c>
      <c r="W20" s="3">
        <f>Table1[[#This Row],[Expected Target Price]]-Table1[[#This Row],[LTP 
]]</f>
        <v>44.355000000000018</v>
      </c>
      <c r="X20" s="31" t="str">
        <f>IF(Table1[[#This Row],[Intraday profit/-Loss]]&lt;0, "LOSS", "PROFIT")</f>
        <v>PROFIT</v>
      </c>
    </row>
    <row r="21" spans="1:24" ht="23.25" customHeight="1" x14ac:dyDescent="0.25">
      <c r="A21" s="19" t="s">
        <v>30</v>
      </c>
      <c r="B21" s="1">
        <v>446</v>
      </c>
      <c r="C21" s="1">
        <v>448.5</v>
      </c>
      <c r="D21" s="1">
        <v>441.05</v>
      </c>
      <c r="E21" s="1">
        <v>443.7</v>
      </c>
      <c r="F21" s="1">
        <v>445.1</v>
      </c>
      <c r="G21" s="6">
        <f t="shared" si="0"/>
        <v>-1.4000000000000341</v>
      </c>
      <c r="H21" s="9">
        <f t="shared" si="1"/>
        <v>0.31552851025468426</v>
      </c>
      <c r="I21" s="3">
        <v>17184280</v>
      </c>
      <c r="J21" s="1">
        <v>476</v>
      </c>
      <c r="K21" s="1">
        <v>356</v>
      </c>
      <c r="L21" s="2">
        <f t="shared" si="2"/>
        <v>120</v>
      </c>
      <c r="M21" s="15">
        <v>0.2</v>
      </c>
      <c r="N21" s="8">
        <f t="shared" si="3"/>
        <v>89.02000000000001</v>
      </c>
      <c r="O21" s="2">
        <f t="shared" si="4"/>
        <v>534.12</v>
      </c>
      <c r="P21" s="1" t="s">
        <v>67</v>
      </c>
      <c r="Q21" s="1">
        <v>444</v>
      </c>
      <c r="R21" s="1">
        <v>442</v>
      </c>
      <c r="S21" s="1">
        <v>50</v>
      </c>
      <c r="T21" s="1">
        <f t="shared" si="5"/>
        <v>22200</v>
      </c>
      <c r="U21" s="1">
        <f t="shared" si="6"/>
        <v>22100</v>
      </c>
      <c r="V21" s="3">
        <f t="shared" si="7"/>
        <v>-100</v>
      </c>
      <c r="W21" s="3">
        <f>Table1[[#This Row],[Expected Target Price]]-Table1[[#This Row],[LTP 
]]</f>
        <v>89.019999999999982</v>
      </c>
      <c r="X21" s="31" t="str">
        <f>IF(Table1[[#This Row],[Intraday profit/-Loss]]&lt;0, "LOSS", "PROFIT")</f>
        <v>LOSS</v>
      </c>
    </row>
    <row r="22" spans="1:24" ht="23.25" customHeight="1" x14ac:dyDescent="0.25">
      <c r="A22" s="19" t="s">
        <v>29</v>
      </c>
      <c r="B22" s="1">
        <v>379.9</v>
      </c>
      <c r="C22" s="1">
        <v>379.9</v>
      </c>
      <c r="D22" s="1">
        <v>374.65</v>
      </c>
      <c r="E22" s="1">
        <v>378.4</v>
      </c>
      <c r="F22" s="1">
        <v>376.5</v>
      </c>
      <c r="G22" s="6">
        <f t="shared" si="0"/>
        <v>1.8999999999999773</v>
      </c>
      <c r="H22" s="9">
        <f t="shared" si="1"/>
        <v>-0.50211416490485661</v>
      </c>
      <c r="I22" s="3">
        <v>20263654</v>
      </c>
      <c r="J22" s="1">
        <v>394.5</v>
      </c>
      <c r="K22" s="1">
        <v>315.55</v>
      </c>
      <c r="L22" s="2">
        <f t="shared" si="2"/>
        <v>78.949999999999989</v>
      </c>
      <c r="M22" s="15">
        <v>0.2</v>
      </c>
      <c r="N22" s="8">
        <f t="shared" si="3"/>
        <v>75.3</v>
      </c>
      <c r="O22" s="2">
        <f t="shared" si="4"/>
        <v>451.8</v>
      </c>
      <c r="P22" s="1" t="s">
        <v>67</v>
      </c>
      <c r="Q22" s="1">
        <v>375</v>
      </c>
      <c r="R22" s="1">
        <v>378</v>
      </c>
      <c r="S22" s="1">
        <v>30</v>
      </c>
      <c r="T22" s="1">
        <f t="shared" si="5"/>
        <v>11250</v>
      </c>
      <c r="U22" s="1">
        <f t="shared" si="6"/>
        <v>11340</v>
      </c>
      <c r="V22" s="3">
        <f t="shared" si="7"/>
        <v>90</v>
      </c>
      <c r="W22" s="3">
        <f>Table1[[#This Row],[Expected Target Price]]-Table1[[#This Row],[LTP 
]]</f>
        <v>75.300000000000011</v>
      </c>
      <c r="X22" s="31" t="str">
        <f>IF(Table1[[#This Row],[Intraday profit/-Loss]]&lt;0, "LOSS", "PROFIT")</f>
        <v>PROFIT</v>
      </c>
    </row>
    <row r="23" spans="1:24" ht="23.25" customHeight="1" x14ac:dyDescent="0.25">
      <c r="A23" s="19" t="s">
        <v>28</v>
      </c>
      <c r="B23" s="1">
        <v>194.32</v>
      </c>
      <c r="C23" s="1">
        <v>195.5</v>
      </c>
      <c r="D23" s="1">
        <v>192.64</v>
      </c>
      <c r="E23" s="1">
        <v>196.65</v>
      </c>
      <c r="F23" s="1">
        <v>193.19</v>
      </c>
      <c r="G23" s="6">
        <f t="shared" si="0"/>
        <v>3.460000000000008</v>
      </c>
      <c r="H23" s="9">
        <f t="shared" si="1"/>
        <v>-1.7594711416221753</v>
      </c>
      <c r="I23" s="3">
        <v>36938046</v>
      </c>
      <c r="J23" s="1">
        <v>216.45</v>
      </c>
      <c r="K23" s="1">
        <v>125.3</v>
      </c>
      <c r="L23" s="2">
        <f t="shared" si="2"/>
        <v>91.149999999999991</v>
      </c>
      <c r="M23" s="15">
        <v>0.23</v>
      </c>
      <c r="N23" s="8">
        <f t="shared" si="3"/>
        <v>44.433700000000002</v>
      </c>
      <c r="O23" s="2">
        <f t="shared" si="4"/>
        <v>237.62369999999999</v>
      </c>
      <c r="P23" s="1" t="s">
        <v>64</v>
      </c>
      <c r="Q23" s="1">
        <v>194</v>
      </c>
      <c r="R23" s="1">
        <v>195</v>
      </c>
      <c r="S23" s="1">
        <v>250</v>
      </c>
      <c r="T23" s="1">
        <f t="shared" si="5"/>
        <v>48500</v>
      </c>
      <c r="U23" s="1">
        <f t="shared" si="6"/>
        <v>48750</v>
      </c>
      <c r="V23" s="3">
        <f t="shared" si="7"/>
        <v>250</v>
      </c>
      <c r="W23" s="3">
        <f>Table1[[#This Row],[Expected Target Price]]-Table1[[#This Row],[LTP 
]]</f>
        <v>44.433699999999988</v>
      </c>
      <c r="X23" s="31" t="str">
        <f>IF(Table1[[#This Row],[Intraday profit/-Loss]]&lt;0, "LOSS", "PROFIT")</f>
        <v>PROFIT</v>
      </c>
    </row>
    <row r="24" spans="1:24" ht="23.25" customHeight="1" x14ac:dyDescent="0.25">
      <c r="A24" s="19" t="s">
        <v>27</v>
      </c>
      <c r="B24" s="2">
        <v>4251</v>
      </c>
      <c r="C24" s="2">
        <v>4251</v>
      </c>
      <c r="D24" s="2">
        <v>4091.6</v>
      </c>
      <c r="E24" s="2">
        <v>4294.7</v>
      </c>
      <c r="F24" s="2">
        <v>4102.1000000000004</v>
      </c>
      <c r="G24" s="6">
        <f t="shared" si="0"/>
        <v>192.59999999999945</v>
      </c>
      <c r="H24" s="9">
        <f t="shared" si="1"/>
        <v>-4.4845972943395225</v>
      </c>
      <c r="I24" s="3">
        <v>1693708</v>
      </c>
      <c r="J24" s="2">
        <v>6232.5</v>
      </c>
      <c r="K24" s="2">
        <v>3895.2</v>
      </c>
      <c r="L24" s="2">
        <f t="shared" si="2"/>
        <v>2337.3000000000002</v>
      </c>
      <c r="M24" s="15">
        <v>0.15</v>
      </c>
      <c r="N24" s="8">
        <f t="shared" si="3"/>
        <v>615.31500000000005</v>
      </c>
      <c r="O24" s="2">
        <f t="shared" si="4"/>
        <v>4717.4150000000009</v>
      </c>
      <c r="P24" s="1" t="s">
        <v>68</v>
      </c>
      <c r="Q24" s="1">
        <v>4200</v>
      </c>
      <c r="R24" s="1">
        <v>4100</v>
      </c>
      <c r="S24" s="1">
        <v>1</v>
      </c>
      <c r="T24" s="1">
        <f t="shared" si="5"/>
        <v>4200</v>
      </c>
      <c r="U24" s="1">
        <f t="shared" si="6"/>
        <v>4100</v>
      </c>
      <c r="V24" s="3">
        <f t="shared" si="7"/>
        <v>-100</v>
      </c>
      <c r="W24" s="3">
        <f>Table1[[#This Row],[Expected Target Price]]-Table1[[#This Row],[LTP 
]]</f>
        <v>615.31500000000051</v>
      </c>
      <c r="X24" s="31" t="str">
        <f>IF(Table1[[#This Row],[Intraday profit/-Loss]]&lt;0, "LOSS", "PROFIT")</f>
        <v>LOSS</v>
      </c>
    </row>
    <row r="25" spans="1:24" ht="23.25" customHeight="1" x14ac:dyDescent="0.25">
      <c r="A25" s="19" t="s">
        <v>26</v>
      </c>
      <c r="B25" s="1">
        <v>294.7</v>
      </c>
      <c r="C25" s="1">
        <v>296.85000000000002</v>
      </c>
      <c r="D25" s="1">
        <v>291.55</v>
      </c>
      <c r="E25" s="1">
        <v>295.7</v>
      </c>
      <c r="F25" s="1">
        <v>294.55</v>
      </c>
      <c r="G25" s="6">
        <f t="shared" si="0"/>
        <v>1.1499999999999773</v>
      </c>
      <c r="H25" s="9">
        <f t="shared" si="1"/>
        <v>-0.38890767669934978</v>
      </c>
      <c r="I25" s="3">
        <v>22179022</v>
      </c>
      <c r="J25" s="1">
        <v>444.2</v>
      </c>
      <c r="K25" s="1">
        <v>288.75</v>
      </c>
      <c r="L25" s="2">
        <f t="shared" si="2"/>
        <v>155.44999999999999</v>
      </c>
      <c r="M25" s="15">
        <v>0.2</v>
      </c>
      <c r="N25" s="8">
        <f t="shared" si="3"/>
        <v>58.910000000000004</v>
      </c>
      <c r="O25" s="2">
        <f t="shared" si="4"/>
        <v>353.46000000000004</v>
      </c>
      <c r="P25" s="1" t="s">
        <v>64</v>
      </c>
      <c r="Q25" s="1">
        <v>292</v>
      </c>
      <c r="R25" s="1">
        <v>294</v>
      </c>
      <c r="S25" s="1">
        <v>15</v>
      </c>
      <c r="T25" s="1">
        <f t="shared" si="5"/>
        <v>4380</v>
      </c>
      <c r="U25" s="1">
        <f t="shared" si="6"/>
        <v>4410</v>
      </c>
      <c r="V25" s="3">
        <f t="shared" si="7"/>
        <v>30</v>
      </c>
      <c r="W25" s="3">
        <f>Table1[[#This Row],[Expected Target Price]]-Table1[[#This Row],[LTP 
]]</f>
        <v>58.910000000000025</v>
      </c>
      <c r="X25" s="31" t="str">
        <f>IF(Table1[[#This Row],[Intraday profit/-Loss]]&lt;0, "LOSS", "PROFIT")</f>
        <v>PROFIT</v>
      </c>
    </row>
    <row r="26" spans="1:24" ht="23.25" customHeight="1" x14ac:dyDescent="0.25">
      <c r="A26" s="19" t="s">
        <v>25</v>
      </c>
      <c r="B26" s="2">
        <v>2651</v>
      </c>
      <c r="C26" s="2">
        <v>2655</v>
      </c>
      <c r="D26" s="2">
        <v>2604.6</v>
      </c>
      <c r="E26" s="2">
        <v>2647.8</v>
      </c>
      <c r="F26" s="2">
        <v>2642.1</v>
      </c>
      <c r="G26" s="6">
        <f t="shared" si="0"/>
        <v>5.7000000000002728</v>
      </c>
      <c r="H26" s="9">
        <f t="shared" si="1"/>
        <v>-0.21527305687741796</v>
      </c>
      <c r="I26" s="3">
        <v>2406056</v>
      </c>
      <c r="J26" s="2">
        <v>2979</v>
      </c>
      <c r="K26" s="2">
        <v>2465.5</v>
      </c>
      <c r="L26" s="2">
        <f t="shared" si="2"/>
        <v>513.5</v>
      </c>
      <c r="M26" s="15">
        <v>0.2</v>
      </c>
      <c r="N26" s="8">
        <f t="shared" si="3"/>
        <v>528.41999999999996</v>
      </c>
      <c r="O26" s="2">
        <f t="shared" si="4"/>
        <v>3170.52</v>
      </c>
      <c r="P26" s="1" t="s">
        <v>65</v>
      </c>
      <c r="Q26" s="1">
        <v>2650</v>
      </c>
      <c r="R26" s="1">
        <v>2620</v>
      </c>
      <c r="S26" s="1">
        <v>5</v>
      </c>
      <c r="T26" s="1">
        <f t="shared" si="5"/>
        <v>13250</v>
      </c>
      <c r="U26" s="1">
        <f t="shared" si="6"/>
        <v>13100</v>
      </c>
      <c r="V26" s="3">
        <f t="shared" si="7"/>
        <v>-150</v>
      </c>
      <c r="W26" s="3">
        <f>Table1[[#This Row],[Expected Target Price]]-Table1[[#This Row],[LTP 
]]</f>
        <v>528.42000000000007</v>
      </c>
      <c r="X26" s="31" t="str">
        <f>IF(Table1[[#This Row],[Intraday profit/-Loss]]&lt;0, "LOSS", "PROFIT")</f>
        <v>LOSS</v>
      </c>
    </row>
    <row r="27" spans="1:24" ht="23.25" customHeight="1" x14ac:dyDescent="0.25">
      <c r="A27" s="19" t="s">
        <v>24</v>
      </c>
      <c r="B27" s="2">
        <v>2123.3000000000002</v>
      </c>
      <c r="C27" s="2">
        <v>2127</v>
      </c>
      <c r="D27" s="2">
        <v>2069.5</v>
      </c>
      <c r="E27" s="2">
        <v>2134.8000000000002</v>
      </c>
      <c r="F27" s="2">
        <v>2075</v>
      </c>
      <c r="G27" s="6">
        <f t="shared" si="0"/>
        <v>59.800000000000182</v>
      </c>
      <c r="H27" s="9">
        <f t="shared" si="1"/>
        <v>-2.8011991755668064</v>
      </c>
      <c r="I27" s="3">
        <v>2789151</v>
      </c>
      <c r="J27" s="2">
        <v>2750</v>
      </c>
      <c r="K27" s="2">
        <v>2033.3</v>
      </c>
      <c r="L27" s="2">
        <f t="shared" si="2"/>
        <v>716.7</v>
      </c>
      <c r="M27" s="15">
        <v>0.25</v>
      </c>
      <c r="N27" s="8">
        <f t="shared" si="3"/>
        <v>518.75</v>
      </c>
      <c r="O27" s="2">
        <f t="shared" si="4"/>
        <v>2593.75</v>
      </c>
      <c r="P27" s="1" t="s">
        <v>64</v>
      </c>
      <c r="Q27" s="1">
        <v>2120</v>
      </c>
      <c r="R27" s="1">
        <v>2080</v>
      </c>
      <c r="S27" s="1">
        <v>2</v>
      </c>
      <c r="T27" s="1">
        <f t="shared" si="5"/>
        <v>4240</v>
      </c>
      <c r="U27" s="1">
        <f t="shared" si="6"/>
        <v>4160</v>
      </c>
      <c r="V27" s="3">
        <f t="shared" si="7"/>
        <v>-80</v>
      </c>
      <c r="W27" s="3">
        <f>Table1[[#This Row],[Expected Target Price]]-Table1[[#This Row],[LTP 
]]</f>
        <v>518.75</v>
      </c>
      <c r="X27" s="31" t="str">
        <f>IF(Table1[[#This Row],[Intraday profit/-Loss]]&lt;0, "LOSS", "PROFIT")</f>
        <v>LOSS</v>
      </c>
    </row>
    <row r="28" spans="1:24" ht="23.25" customHeight="1" x14ac:dyDescent="0.25">
      <c r="A28" s="19" t="s">
        <v>23</v>
      </c>
      <c r="B28" s="1">
        <v>312.5</v>
      </c>
      <c r="C28" s="1">
        <v>312.85000000000002</v>
      </c>
      <c r="D28" s="1">
        <v>301.05</v>
      </c>
      <c r="E28" s="1">
        <v>317.95</v>
      </c>
      <c r="F28" s="1">
        <v>302.3</v>
      </c>
      <c r="G28" s="6">
        <f t="shared" si="0"/>
        <v>15.649999999999977</v>
      </c>
      <c r="H28" s="9">
        <f t="shared" si="1"/>
        <v>-4.9221575719452675</v>
      </c>
      <c r="I28" s="3">
        <v>19009638</v>
      </c>
      <c r="J28" s="1">
        <v>739.7</v>
      </c>
      <c r="K28" s="1">
        <v>301.05</v>
      </c>
      <c r="L28" s="2">
        <f t="shared" si="2"/>
        <v>438.65000000000003</v>
      </c>
      <c r="M28" s="15">
        <v>0.26</v>
      </c>
      <c r="N28" s="8">
        <f t="shared" si="3"/>
        <v>78.597999999999999</v>
      </c>
      <c r="O28" s="2">
        <f t="shared" si="4"/>
        <v>380.89800000000002</v>
      </c>
      <c r="P28" s="1" t="s">
        <v>65</v>
      </c>
      <c r="Q28" s="1">
        <v>312</v>
      </c>
      <c r="R28" s="1">
        <v>302</v>
      </c>
      <c r="S28" s="1">
        <v>20</v>
      </c>
      <c r="T28" s="1">
        <f t="shared" si="5"/>
        <v>6240</v>
      </c>
      <c r="U28" s="1">
        <f t="shared" si="6"/>
        <v>6040</v>
      </c>
      <c r="V28" s="3">
        <f t="shared" si="7"/>
        <v>-200</v>
      </c>
      <c r="W28" s="3">
        <f>Table1[[#This Row],[Expected Target Price]]-Table1[[#This Row],[LTP 
]]</f>
        <v>78.598000000000013</v>
      </c>
      <c r="X28" s="31" t="str">
        <f>IF(Table1[[#This Row],[Intraday profit/-Loss]]&lt;0, "LOSS", "PROFIT")</f>
        <v>LOSS</v>
      </c>
    </row>
    <row r="29" spans="1:24" ht="23.25" customHeight="1" x14ac:dyDescent="0.25">
      <c r="A29" s="19" t="s">
        <v>22</v>
      </c>
      <c r="B29" s="2">
        <v>1785</v>
      </c>
      <c r="C29" s="2">
        <v>1819</v>
      </c>
      <c r="D29" s="2">
        <v>1785</v>
      </c>
      <c r="E29" s="2">
        <v>1795.4</v>
      </c>
      <c r="F29" s="2">
        <v>1794</v>
      </c>
      <c r="G29" s="6">
        <f t="shared" si="0"/>
        <v>1.4000000000000909</v>
      </c>
      <c r="H29" s="9">
        <f t="shared" si="1"/>
        <v>-7.7977052467421801E-2</v>
      </c>
      <c r="I29" s="3">
        <v>2975423</v>
      </c>
      <c r="J29" s="2">
        <v>1851.2</v>
      </c>
      <c r="K29" s="2">
        <v>1548</v>
      </c>
      <c r="L29" s="2">
        <f t="shared" si="2"/>
        <v>303.20000000000005</v>
      </c>
      <c r="M29" s="15">
        <v>0.22</v>
      </c>
      <c r="N29" s="8">
        <f t="shared" si="3"/>
        <v>394.68</v>
      </c>
      <c r="O29" s="2">
        <f t="shared" si="4"/>
        <v>2188.6799999999998</v>
      </c>
      <c r="P29" s="1" t="s">
        <v>64</v>
      </c>
      <c r="Q29" s="1">
        <v>1790</v>
      </c>
      <c r="R29" s="1">
        <v>1805</v>
      </c>
      <c r="S29" s="1">
        <v>5</v>
      </c>
      <c r="T29" s="1">
        <f t="shared" si="5"/>
        <v>8950</v>
      </c>
      <c r="U29" s="1">
        <f t="shared" si="6"/>
        <v>9025</v>
      </c>
      <c r="V29" s="3">
        <f t="shared" si="7"/>
        <v>75</v>
      </c>
      <c r="W29" s="3">
        <f>Table1[[#This Row],[Expected Target Price]]-Table1[[#This Row],[LTP 
]]</f>
        <v>394.67999999999984</v>
      </c>
      <c r="X29" s="31" t="str">
        <f>IF(Table1[[#This Row],[Intraday profit/-Loss]]&lt;0, "LOSS", "PROFIT")</f>
        <v>PROFIT</v>
      </c>
    </row>
    <row r="30" spans="1:24" ht="23.25" customHeight="1" x14ac:dyDescent="0.25">
      <c r="A30" s="19" t="s">
        <v>21</v>
      </c>
      <c r="B30" s="1">
        <v>189.05</v>
      </c>
      <c r="C30" s="1">
        <v>192.29</v>
      </c>
      <c r="D30" s="1">
        <v>187.9</v>
      </c>
      <c r="E30" s="1">
        <v>189.05</v>
      </c>
      <c r="F30" s="1">
        <v>191.35</v>
      </c>
      <c r="G30" s="6">
        <f t="shared" si="0"/>
        <v>-2.2999999999999829</v>
      </c>
      <c r="H30" s="9">
        <f t="shared" si="1"/>
        <v>1.216609362602477</v>
      </c>
      <c r="I30" s="3">
        <v>26269256</v>
      </c>
      <c r="J30" s="1">
        <v>274.7</v>
      </c>
      <c r="K30" s="1">
        <v>187</v>
      </c>
      <c r="L30" s="2">
        <f t="shared" si="2"/>
        <v>87.699999999999989</v>
      </c>
      <c r="M30" s="15">
        <v>0.25</v>
      </c>
      <c r="N30" s="8">
        <f t="shared" si="3"/>
        <v>47.837499999999999</v>
      </c>
      <c r="O30" s="2">
        <f t="shared" si="4"/>
        <v>239.1875</v>
      </c>
      <c r="P30" s="1" t="s">
        <v>64</v>
      </c>
      <c r="Q30" s="1">
        <v>190</v>
      </c>
      <c r="R30" s="1">
        <v>191.5</v>
      </c>
      <c r="S30" s="1">
        <v>550</v>
      </c>
      <c r="T30" s="1">
        <f t="shared" si="5"/>
        <v>104500</v>
      </c>
      <c r="U30" s="1">
        <f t="shared" si="6"/>
        <v>105325</v>
      </c>
      <c r="V30" s="3">
        <f t="shared" si="7"/>
        <v>825</v>
      </c>
      <c r="W30" s="3">
        <f>Table1[[#This Row],[Expected Target Price]]-Table1[[#This Row],[LTP 
]]</f>
        <v>47.837500000000006</v>
      </c>
      <c r="X30" s="31" t="str">
        <f>IF(Table1[[#This Row],[Intraday profit/-Loss]]&lt;0, "LOSS", "PROFIT")</f>
        <v>PROFIT</v>
      </c>
    </row>
    <row r="31" spans="1:24" ht="23.25" customHeight="1" x14ac:dyDescent="0.25">
      <c r="A31" s="19" t="s">
        <v>20</v>
      </c>
      <c r="B31" s="2">
        <v>1880</v>
      </c>
      <c r="C31" s="2">
        <v>1883.2</v>
      </c>
      <c r="D31" s="2">
        <v>1816.5</v>
      </c>
      <c r="E31" s="2">
        <v>1886.6</v>
      </c>
      <c r="F31" s="2">
        <v>1824</v>
      </c>
      <c r="G31" s="6">
        <f t="shared" si="0"/>
        <v>62.599999999999909</v>
      </c>
      <c r="H31" s="9">
        <f t="shared" si="1"/>
        <v>-3.3181384501219076</v>
      </c>
      <c r="I31" s="3">
        <v>2585257</v>
      </c>
      <c r="J31" s="2">
        <v>2616.5</v>
      </c>
      <c r="K31" s="2">
        <v>1813.7</v>
      </c>
      <c r="L31" s="2">
        <f t="shared" si="2"/>
        <v>802.8</v>
      </c>
      <c r="M31" s="15">
        <v>0.2</v>
      </c>
      <c r="N31" s="8">
        <f t="shared" si="3"/>
        <v>364.8</v>
      </c>
      <c r="O31" s="2">
        <f t="shared" si="4"/>
        <v>2188.8000000000002</v>
      </c>
      <c r="P31" s="1" t="s">
        <v>65</v>
      </c>
      <c r="Q31" s="1">
        <v>1875</v>
      </c>
      <c r="R31" s="1">
        <v>1825</v>
      </c>
      <c r="S31" s="1">
        <v>2</v>
      </c>
      <c r="T31" s="1">
        <f t="shared" si="5"/>
        <v>3750</v>
      </c>
      <c r="U31" s="1">
        <f t="shared" si="6"/>
        <v>3650</v>
      </c>
      <c r="V31" s="3">
        <f t="shared" si="7"/>
        <v>-100</v>
      </c>
      <c r="W31" s="3">
        <f>Table1[[#This Row],[Expected Target Price]]-Table1[[#This Row],[LTP 
]]</f>
        <v>364.80000000000018</v>
      </c>
      <c r="X31" s="31" t="str">
        <f>IF(Table1[[#This Row],[Intraday profit/-Loss]]&lt;0, "LOSS", "PROFIT")</f>
        <v>LOSS</v>
      </c>
    </row>
    <row r="32" spans="1:24" ht="23.25" customHeight="1" x14ac:dyDescent="0.25">
      <c r="A32" s="19" t="s">
        <v>19</v>
      </c>
      <c r="B32" s="2">
        <v>11174</v>
      </c>
      <c r="C32" s="2">
        <v>11174</v>
      </c>
      <c r="D32" s="2">
        <v>10970</v>
      </c>
      <c r="E32" s="2">
        <v>11204</v>
      </c>
      <c r="F32" s="2">
        <v>11100</v>
      </c>
      <c r="G32" s="6">
        <f t="shared" si="0"/>
        <v>104</v>
      </c>
      <c r="H32" s="9">
        <f t="shared" si="1"/>
        <v>-0.9282399143163157</v>
      </c>
      <c r="I32" s="3">
        <v>418469</v>
      </c>
      <c r="J32" s="2">
        <v>13110</v>
      </c>
      <c r="K32" s="2">
        <v>10325</v>
      </c>
      <c r="L32" s="2">
        <f t="shared" si="2"/>
        <v>2785</v>
      </c>
      <c r="M32" s="15">
        <v>0.2</v>
      </c>
      <c r="N32" s="8">
        <f t="shared" si="3"/>
        <v>2220</v>
      </c>
      <c r="O32" s="2">
        <f t="shared" si="4"/>
        <v>13320</v>
      </c>
      <c r="P32" s="1" t="s">
        <v>68</v>
      </c>
      <c r="Q32" s="1">
        <v>11100</v>
      </c>
      <c r="R32" s="1">
        <v>11115</v>
      </c>
      <c r="S32" s="1">
        <v>1</v>
      </c>
      <c r="T32" s="1">
        <f t="shared" si="5"/>
        <v>11100</v>
      </c>
      <c r="U32" s="1">
        <f t="shared" si="6"/>
        <v>11115</v>
      </c>
      <c r="V32" s="3">
        <f t="shared" si="7"/>
        <v>15</v>
      </c>
      <c r="W32" s="3">
        <f>Table1[[#This Row],[Expected Target Price]]-Table1[[#This Row],[LTP 
]]</f>
        <v>2220</v>
      </c>
      <c r="X32" s="31" t="str">
        <f>IF(Table1[[#This Row],[Intraday profit/-Loss]]&lt;0, "LOSS", "PROFIT")</f>
        <v>PROFIT</v>
      </c>
    </row>
    <row r="33" spans="1:24" ht="23.25" customHeight="1" x14ac:dyDescent="0.25">
      <c r="A33" s="19" t="s">
        <v>18</v>
      </c>
      <c r="B33" s="1">
        <v>236</v>
      </c>
      <c r="C33" s="1">
        <v>236.5</v>
      </c>
      <c r="D33" s="1">
        <v>231.55</v>
      </c>
      <c r="E33" s="1">
        <v>237.35</v>
      </c>
      <c r="F33" s="1">
        <v>232</v>
      </c>
      <c r="G33" s="6">
        <f t="shared" si="0"/>
        <v>5.3499999999999943</v>
      </c>
      <c r="H33" s="9">
        <f t="shared" si="1"/>
        <v>-2.2540551927533157</v>
      </c>
      <c r="I33" s="3">
        <v>19784233</v>
      </c>
      <c r="J33" s="1">
        <v>338.6</v>
      </c>
      <c r="K33" s="1">
        <v>203.1</v>
      </c>
      <c r="L33" s="2">
        <f t="shared" si="2"/>
        <v>135.50000000000003</v>
      </c>
      <c r="M33" s="15">
        <v>0.24</v>
      </c>
      <c r="N33" s="8">
        <f t="shared" si="3"/>
        <v>55.68</v>
      </c>
      <c r="O33" s="2">
        <f t="shared" si="4"/>
        <v>287.68</v>
      </c>
      <c r="P33" s="1" t="s">
        <v>67</v>
      </c>
      <c r="Q33" s="1">
        <v>235</v>
      </c>
      <c r="R33" s="1">
        <v>233</v>
      </c>
      <c r="S33" s="1">
        <v>45</v>
      </c>
      <c r="T33" s="1">
        <f t="shared" si="5"/>
        <v>10575</v>
      </c>
      <c r="U33" s="1">
        <f t="shared" si="6"/>
        <v>10485</v>
      </c>
      <c r="V33" s="3">
        <f t="shared" si="7"/>
        <v>-90</v>
      </c>
      <c r="W33" s="3">
        <f>Table1[[#This Row],[Expected Target Price]]-Table1[[#This Row],[LTP 
]]</f>
        <v>55.680000000000007</v>
      </c>
      <c r="X33" s="31" t="str">
        <f>IF(Table1[[#This Row],[Intraday profit/-Loss]]&lt;0, "LOSS", "PROFIT")</f>
        <v>LOSS</v>
      </c>
    </row>
    <row r="34" spans="1:24" ht="23.25" customHeight="1" x14ac:dyDescent="0.25">
      <c r="A34" s="19" t="s">
        <v>17</v>
      </c>
      <c r="B34" s="2">
        <v>3451</v>
      </c>
      <c r="C34" s="2">
        <v>3505.9</v>
      </c>
      <c r="D34" s="2">
        <v>3373.6</v>
      </c>
      <c r="E34" s="2">
        <v>3478.9</v>
      </c>
      <c r="F34" s="2">
        <v>3405</v>
      </c>
      <c r="G34" s="6">
        <f t="shared" ref="G34:G51" si="8">E34-F34</f>
        <v>73.900000000000091</v>
      </c>
      <c r="H34" s="9">
        <f t="shared" ref="H34:H51" si="9">-G34/E34*100</f>
        <v>-2.1242346718790448</v>
      </c>
      <c r="I34" s="3">
        <v>1288297</v>
      </c>
      <c r="J34" s="2">
        <v>6261</v>
      </c>
      <c r="K34" s="2">
        <v>3340.3</v>
      </c>
      <c r="L34" s="2">
        <f t="shared" ref="L34:L51" si="10">J34-K34</f>
        <v>2920.7</v>
      </c>
      <c r="M34" s="15">
        <v>0.3</v>
      </c>
      <c r="N34" s="8">
        <f t="shared" ref="N34:N51" si="11">F34*M34</f>
        <v>1021.5</v>
      </c>
      <c r="O34" s="2">
        <f t="shared" ref="O34:O51" si="12">SUM(F34,N34)</f>
        <v>4426.5</v>
      </c>
      <c r="P34" s="1" t="s">
        <v>64</v>
      </c>
      <c r="Q34" s="1">
        <v>3500</v>
      </c>
      <c r="R34" s="1">
        <v>3405</v>
      </c>
      <c r="S34" s="1">
        <v>2</v>
      </c>
      <c r="T34" s="1">
        <f t="shared" ref="T34:T51" si="13">Q34*S34</f>
        <v>7000</v>
      </c>
      <c r="U34" s="1">
        <f t="shared" ref="U34:U51" si="14">R34*S34</f>
        <v>6810</v>
      </c>
      <c r="V34" s="3">
        <f t="shared" ref="V34:V51" si="15">U34-T34</f>
        <v>-190</v>
      </c>
      <c r="W34" s="3">
        <f>Table1[[#This Row],[Expected Target Price]]-Table1[[#This Row],[LTP 
]]</f>
        <v>1021.5</v>
      </c>
      <c r="X34" s="31" t="str">
        <f>IF(Table1[[#This Row],[Intraday profit/-Loss]]&lt;0, "LOSS", "PROFIT")</f>
        <v>LOSS</v>
      </c>
    </row>
    <row r="35" spans="1:24" ht="23.25" customHeight="1" x14ac:dyDescent="0.25">
      <c r="A35" s="19" t="s">
        <v>16</v>
      </c>
      <c r="B35" s="2">
        <v>1738.6</v>
      </c>
      <c r="C35" s="2">
        <v>1738.6</v>
      </c>
      <c r="D35" s="2">
        <v>1680.1</v>
      </c>
      <c r="E35" s="2">
        <v>1746.2</v>
      </c>
      <c r="F35" s="2">
        <v>1694.7</v>
      </c>
      <c r="G35" s="6">
        <f t="shared" si="8"/>
        <v>51.5</v>
      </c>
      <c r="H35" s="9">
        <f t="shared" si="9"/>
        <v>-2.9492612530065285</v>
      </c>
      <c r="I35" s="3">
        <v>2522237</v>
      </c>
      <c r="J35" s="2">
        <v>2195</v>
      </c>
      <c r="K35" s="2">
        <v>1662.7</v>
      </c>
      <c r="L35" s="2">
        <f t="shared" si="10"/>
        <v>532.29999999999995</v>
      </c>
      <c r="M35" s="15">
        <v>0.32</v>
      </c>
      <c r="N35" s="8">
        <f t="shared" si="11"/>
        <v>542.30399999999997</v>
      </c>
      <c r="O35" s="2">
        <f t="shared" si="12"/>
        <v>2237.0039999999999</v>
      </c>
      <c r="P35" s="1" t="s">
        <v>64</v>
      </c>
      <c r="Q35" s="1">
        <v>1730</v>
      </c>
      <c r="R35" s="1">
        <v>1683</v>
      </c>
      <c r="S35" s="1">
        <v>2</v>
      </c>
      <c r="T35" s="1">
        <f t="shared" si="13"/>
        <v>3460</v>
      </c>
      <c r="U35" s="1">
        <f t="shared" si="14"/>
        <v>3366</v>
      </c>
      <c r="V35" s="3">
        <f t="shared" si="15"/>
        <v>-94</v>
      </c>
      <c r="W35" s="3">
        <f>Table1[[#This Row],[Expected Target Price]]-Table1[[#This Row],[LTP 
]]</f>
        <v>542.30399999999986</v>
      </c>
      <c r="X35" s="31" t="str">
        <f>IF(Table1[[#This Row],[Intraday profit/-Loss]]&lt;0, "LOSS", "PROFIT")</f>
        <v>LOSS</v>
      </c>
    </row>
    <row r="36" spans="1:24" ht="23.25" customHeight="1" x14ac:dyDescent="0.25">
      <c r="A36" s="19" t="s">
        <v>15</v>
      </c>
      <c r="B36" s="2">
        <v>4000</v>
      </c>
      <c r="C36" s="2">
        <v>4032.8</v>
      </c>
      <c r="D36" s="2">
        <v>3972</v>
      </c>
      <c r="E36" s="2">
        <v>4039.3</v>
      </c>
      <c r="F36" s="2">
        <v>3982.1</v>
      </c>
      <c r="G36" s="6">
        <f t="shared" si="8"/>
        <v>57.200000000000273</v>
      </c>
      <c r="H36" s="9">
        <f t="shared" si="9"/>
        <v>-1.416086945757935</v>
      </c>
      <c r="I36" s="3">
        <v>1040658</v>
      </c>
      <c r="J36" s="2">
        <v>4378.3999999999996</v>
      </c>
      <c r="K36" s="2">
        <v>2925</v>
      </c>
      <c r="L36" s="2">
        <f t="shared" si="10"/>
        <v>1453.3999999999996</v>
      </c>
      <c r="M36" s="15">
        <v>0.33</v>
      </c>
      <c r="N36" s="8">
        <f t="shared" si="11"/>
        <v>1314.0930000000001</v>
      </c>
      <c r="O36" s="2">
        <f t="shared" si="12"/>
        <v>5296.1930000000002</v>
      </c>
      <c r="P36" s="1" t="s">
        <v>64</v>
      </c>
      <c r="Q36" s="1">
        <v>4005</v>
      </c>
      <c r="R36" s="1">
        <v>4012</v>
      </c>
      <c r="S36" s="1">
        <v>1</v>
      </c>
      <c r="T36" s="1">
        <f t="shared" si="13"/>
        <v>4005</v>
      </c>
      <c r="U36" s="1">
        <f t="shared" si="14"/>
        <v>4012</v>
      </c>
      <c r="V36" s="3">
        <f t="shared" si="15"/>
        <v>7</v>
      </c>
      <c r="W36" s="3">
        <f>Table1[[#This Row],[Expected Target Price]]-Table1[[#This Row],[LTP 
]]</f>
        <v>1314.0930000000003</v>
      </c>
      <c r="X36" s="31" t="str">
        <f>IF(Table1[[#This Row],[Intraday profit/-Loss]]&lt;0, "LOSS", "PROFIT")</f>
        <v>PROFIT</v>
      </c>
    </row>
    <row r="37" spans="1:24" ht="23.25" customHeight="1" x14ac:dyDescent="0.25">
      <c r="A37" s="19" t="s">
        <v>14</v>
      </c>
      <c r="B37" s="2">
        <v>7510</v>
      </c>
      <c r="C37" s="2">
        <v>7621</v>
      </c>
      <c r="D37" s="2">
        <v>7510</v>
      </c>
      <c r="E37" s="2">
        <v>7580.5</v>
      </c>
      <c r="F37" s="2">
        <v>7547</v>
      </c>
      <c r="G37" s="6">
        <f t="shared" si="8"/>
        <v>33.5</v>
      </c>
      <c r="H37" s="9">
        <f t="shared" si="9"/>
        <v>-0.44192335597915705</v>
      </c>
      <c r="I37" s="3">
        <v>533512</v>
      </c>
      <c r="J37" s="2">
        <v>8099.5</v>
      </c>
      <c r="K37" s="2">
        <v>6430.25</v>
      </c>
      <c r="L37" s="2">
        <f t="shared" si="10"/>
        <v>1669.25</v>
      </c>
      <c r="M37" s="15">
        <v>0.24</v>
      </c>
      <c r="N37" s="8">
        <f t="shared" si="11"/>
        <v>1811.28</v>
      </c>
      <c r="O37" s="2">
        <f t="shared" si="12"/>
        <v>9358.2800000000007</v>
      </c>
      <c r="P37" s="1" t="s">
        <v>67</v>
      </c>
      <c r="Q37" s="1">
        <v>7612</v>
      </c>
      <c r="R37" s="1">
        <v>7550</v>
      </c>
      <c r="S37" s="1">
        <v>1</v>
      </c>
      <c r="T37" s="1">
        <f t="shared" si="13"/>
        <v>7612</v>
      </c>
      <c r="U37" s="1">
        <f t="shared" si="14"/>
        <v>7550</v>
      </c>
      <c r="V37" s="3">
        <f t="shared" si="15"/>
        <v>-62</v>
      </c>
      <c r="W37" s="3">
        <f>Table1[[#This Row],[Expected Target Price]]-Table1[[#This Row],[LTP 
]]</f>
        <v>1811.2800000000007</v>
      </c>
      <c r="X37" s="31" t="str">
        <f>IF(Table1[[#This Row],[Intraday profit/-Loss]]&lt;0, "LOSS", "PROFIT")</f>
        <v>LOSS</v>
      </c>
    </row>
    <row r="38" spans="1:24" ht="23.25" customHeight="1" x14ac:dyDescent="0.25">
      <c r="A38" s="19" t="s">
        <v>13</v>
      </c>
      <c r="B38" s="2">
        <v>6915</v>
      </c>
      <c r="C38" s="2">
        <v>6916.5</v>
      </c>
      <c r="D38" s="2">
        <v>6742</v>
      </c>
      <c r="E38" s="2">
        <v>6992.5</v>
      </c>
      <c r="F38" s="2">
        <v>6799</v>
      </c>
      <c r="G38" s="6">
        <f t="shared" si="8"/>
        <v>193.5</v>
      </c>
      <c r="H38" s="9">
        <f t="shared" si="9"/>
        <v>-2.7672506256703611</v>
      </c>
      <c r="I38" s="3">
        <v>533428</v>
      </c>
      <c r="J38" s="2">
        <v>8230</v>
      </c>
      <c r="K38" s="2">
        <v>4999.95</v>
      </c>
      <c r="L38" s="2">
        <f t="shared" si="10"/>
        <v>3230.05</v>
      </c>
      <c r="M38" s="15">
        <v>0.2</v>
      </c>
      <c r="N38" s="8">
        <f t="shared" si="11"/>
        <v>1359.8000000000002</v>
      </c>
      <c r="O38" s="2">
        <f t="shared" si="12"/>
        <v>8158.8</v>
      </c>
      <c r="P38" s="1" t="s">
        <v>68</v>
      </c>
      <c r="Q38" s="1">
        <v>6900</v>
      </c>
      <c r="R38" s="1">
        <v>6800</v>
      </c>
      <c r="S38" s="1">
        <v>1</v>
      </c>
      <c r="T38" s="1">
        <f t="shared" si="13"/>
        <v>6900</v>
      </c>
      <c r="U38" s="1">
        <f t="shared" si="14"/>
        <v>6800</v>
      </c>
      <c r="V38" s="3">
        <f t="shared" si="15"/>
        <v>-100</v>
      </c>
      <c r="W38" s="3">
        <f>Table1[[#This Row],[Expected Target Price]]-Table1[[#This Row],[LTP 
]]</f>
        <v>1359.8000000000002</v>
      </c>
      <c r="X38" s="31" t="str">
        <f>IF(Table1[[#This Row],[Intraday profit/-Loss]]&lt;0, "LOSS", "PROFIT")</f>
        <v>LOSS</v>
      </c>
    </row>
    <row r="39" spans="1:24" ht="23.25" customHeight="1" x14ac:dyDescent="0.25">
      <c r="A39" s="19" t="s">
        <v>12</v>
      </c>
      <c r="B39" s="2">
        <v>1395</v>
      </c>
      <c r="C39" s="2">
        <v>1421</v>
      </c>
      <c r="D39" s="2">
        <v>1385.5</v>
      </c>
      <c r="E39" s="2">
        <v>1408.5</v>
      </c>
      <c r="F39" s="2">
        <v>1386.7</v>
      </c>
      <c r="G39" s="6">
        <f t="shared" si="8"/>
        <v>21.799999999999955</v>
      </c>
      <c r="H39" s="9">
        <f t="shared" si="9"/>
        <v>-1.5477458288959853</v>
      </c>
      <c r="I39" s="3">
        <v>2584016</v>
      </c>
      <c r="J39" s="2">
        <v>1854</v>
      </c>
      <c r="K39" s="2">
        <v>1264.3499999999999</v>
      </c>
      <c r="L39" s="2">
        <f t="shared" si="10"/>
        <v>589.65000000000009</v>
      </c>
      <c r="M39" s="15">
        <v>0.2</v>
      </c>
      <c r="N39" s="8">
        <f t="shared" si="11"/>
        <v>277.34000000000003</v>
      </c>
      <c r="O39" s="2">
        <f t="shared" si="12"/>
        <v>1664.04</v>
      </c>
      <c r="P39" s="1" t="s">
        <v>64</v>
      </c>
      <c r="Q39" s="1">
        <v>1390</v>
      </c>
      <c r="R39" s="1">
        <v>1386</v>
      </c>
      <c r="S39" s="1">
        <v>5</v>
      </c>
      <c r="T39" s="1">
        <f t="shared" si="13"/>
        <v>6950</v>
      </c>
      <c r="U39" s="1">
        <f t="shared" si="14"/>
        <v>6930</v>
      </c>
      <c r="V39" s="3">
        <f t="shared" si="15"/>
        <v>-20</v>
      </c>
      <c r="W39" s="3">
        <f>Table1[[#This Row],[Expected Target Price]]-Table1[[#This Row],[LTP 
]]</f>
        <v>277.33999999999992</v>
      </c>
      <c r="X39" s="31" t="str">
        <f>IF(Table1[[#This Row],[Intraday profit/-Loss]]&lt;0, "LOSS", "PROFIT")</f>
        <v>LOSS</v>
      </c>
    </row>
    <row r="40" spans="1:24" ht="23.25" customHeight="1" x14ac:dyDescent="0.25">
      <c r="A40" s="19" t="s">
        <v>11</v>
      </c>
      <c r="B40" s="2">
        <v>1375</v>
      </c>
      <c r="C40" s="2">
        <v>1375</v>
      </c>
      <c r="D40" s="2">
        <v>1330.1</v>
      </c>
      <c r="E40" s="2">
        <v>1375.9</v>
      </c>
      <c r="F40" s="2">
        <v>1339.9</v>
      </c>
      <c r="G40" s="6">
        <f t="shared" si="8"/>
        <v>36</v>
      </c>
      <c r="H40" s="9">
        <f t="shared" si="9"/>
        <v>-2.6164692201468127</v>
      </c>
      <c r="I40" s="3">
        <v>2667313</v>
      </c>
      <c r="J40" s="2">
        <v>1584</v>
      </c>
      <c r="K40" s="2">
        <v>1041.5</v>
      </c>
      <c r="L40" s="2">
        <f t="shared" si="10"/>
        <v>542.5</v>
      </c>
      <c r="M40" s="15">
        <v>0.16</v>
      </c>
      <c r="N40" s="8">
        <f t="shared" si="11"/>
        <v>214.38400000000001</v>
      </c>
      <c r="O40" s="2">
        <f t="shared" si="12"/>
        <v>1554.2840000000001</v>
      </c>
      <c r="P40" s="1" t="s">
        <v>69</v>
      </c>
      <c r="Q40" s="1">
        <v>1375</v>
      </c>
      <c r="R40" s="1">
        <v>1335</v>
      </c>
      <c r="S40" s="1">
        <v>2</v>
      </c>
      <c r="T40" s="1">
        <f t="shared" si="13"/>
        <v>2750</v>
      </c>
      <c r="U40" s="1">
        <f t="shared" si="14"/>
        <v>2670</v>
      </c>
      <c r="V40" s="3">
        <f t="shared" si="15"/>
        <v>-80</v>
      </c>
      <c r="W40" s="3">
        <f>Table1[[#This Row],[Expected Target Price]]-Table1[[#This Row],[LTP 
]]</f>
        <v>214.38400000000001</v>
      </c>
      <c r="X40" s="31" t="str">
        <f>IF(Table1[[#This Row],[Intraday profit/-Loss]]&lt;0, "LOSS", "PROFIT")</f>
        <v>LOSS</v>
      </c>
    </row>
    <row r="41" spans="1:24" ht="23.25" customHeight="1" x14ac:dyDescent="0.25">
      <c r="A41" s="19" t="s">
        <v>10</v>
      </c>
      <c r="B41" s="1">
        <v>860</v>
      </c>
      <c r="C41" s="1">
        <v>872.95</v>
      </c>
      <c r="D41" s="1">
        <v>854.75</v>
      </c>
      <c r="E41" s="1">
        <v>868.65</v>
      </c>
      <c r="F41" s="1">
        <v>865</v>
      </c>
      <c r="G41" s="6">
        <f t="shared" si="8"/>
        <v>3.6499999999999773</v>
      </c>
      <c r="H41" s="9">
        <f t="shared" si="9"/>
        <v>-0.42019225234559116</v>
      </c>
      <c r="I41" s="3">
        <v>4104597</v>
      </c>
      <c r="J41" s="2">
        <v>1029.8</v>
      </c>
      <c r="K41" s="1">
        <v>546.45000000000005</v>
      </c>
      <c r="L41" s="2">
        <f t="shared" si="10"/>
        <v>483.34999999999991</v>
      </c>
      <c r="M41" s="15">
        <v>0.26</v>
      </c>
      <c r="N41" s="8">
        <f t="shared" si="11"/>
        <v>224.9</v>
      </c>
      <c r="O41" s="2">
        <f t="shared" si="12"/>
        <v>1089.9000000000001</v>
      </c>
      <c r="P41" s="1" t="s">
        <v>64</v>
      </c>
      <c r="Q41" s="1">
        <v>860</v>
      </c>
      <c r="R41" s="1">
        <v>868</v>
      </c>
      <c r="S41" s="1">
        <v>10</v>
      </c>
      <c r="T41" s="1">
        <f t="shared" si="13"/>
        <v>8600</v>
      </c>
      <c r="U41" s="1">
        <f t="shared" si="14"/>
        <v>8680</v>
      </c>
      <c r="V41" s="3">
        <f t="shared" si="15"/>
        <v>80</v>
      </c>
      <c r="W41" s="3">
        <f>Table1[[#This Row],[Expected Target Price]]-Table1[[#This Row],[LTP 
]]</f>
        <v>224.90000000000009</v>
      </c>
      <c r="X41" s="31" t="str">
        <f>IF(Table1[[#This Row],[Intraday profit/-Loss]]&lt;0, "LOSS", "PROFIT")</f>
        <v>PROFIT</v>
      </c>
    </row>
    <row r="42" spans="1:24" ht="23.25" customHeight="1" x14ac:dyDescent="0.25">
      <c r="A42" s="19" t="s">
        <v>9</v>
      </c>
      <c r="B42" s="2">
        <v>1150</v>
      </c>
      <c r="C42" s="2">
        <v>1150.8</v>
      </c>
      <c r="D42" s="2">
        <v>1126.9000000000001</v>
      </c>
      <c r="E42" s="2">
        <v>1156</v>
      </c>
      <c r="F42" s="2">
        <v>1130.0999999999999</v>
      </c>
      <c r="G42" s="6">
        <f t="shared" si="8"/>
        <v>25.900000000000091</v>
      </c>
      <c r="H42" s="9">
        <f t="shared" si="9"/>
        <v>-2.2404844290657517</v>
      </c>
      <c r="I42" s="3">
        <v>2750813</v>
      </c>
      <c r="J42" s="2">
        <v>1284.7</v>
      </c>
      <c r="K42" s="1">
        <v>905.2</v>
      </c>
      <c r="L42" s="2">
        <f t="shared" si="10"/>
        <v>379.5</v>
      </c>
      <c r="M42" s="15">
        <v>0.18</v>
      </c>
      <c r="N42" s="8">
        <f t="shared" si="11"/>
        <v>203.41799999999998</v>
      </c>
      <c r="O42" s="2">
        <f t="shared" si="12"/>
        <v>1333.5179999999998</v>
      </c>
      <c r="P42" s="1" t="s">
        <v>64</v>
      </c>
      <c r="Q42" s="1">
        <v>1150</v>
      </c>
      <c r="R42" s="1">
        <v>1130</v>
      </c>
      <c r="S42" s="1">
        <v>2</v>
      </c>
      <c r="T42" s="1">
        <f t="shared" si="13"/>
        <v>2300</v>
      </c>
      <c r="U42" s="1">
        <f t="shared" si="14"/>
        <v>2260</v>
      </c>
      <c r="V42" s="3">
        <f t="shared" si="15"/>
        <v>-40</v>
      </c>
      <c r="W42" s="3">
        <f>Table1[[#This Row],[Expected Target Price]]-Table1[[#This Row],[LTP 
]]</f>
        <v>203.41799999999989</v>
      </c>
      <c r="X42" s="31" t="str">
        <f>IF(Table1[[#This Row],[Intraday profit/-Loss]]&lt;0, "LOSS", "PROFIT")</f>
        <v>LOSS</v>
      </c>
    </row>
    <row r="43" spans="1:24" ht="23.25" customHeight="1" x14ac:dyDescent="0.25">
      <c r="A43" s="19" t="s">
        <v>8</v>
      </c>
      <c r="B43" s="2">
        <v>8971.5</v>
      </c>
      <c r="C43" s="2">
        <v>9004</v>
      </c>
      <c r="D43" s="2">
        <v>8840</v>
      </c>
      <c r="E43" s="2">
        <v>9048.5</v>
      </c>
      <c r="F43" s="2">
        <v>8897.5</v>
      </c>
      <c r="G43" s="6">
        <f t="shared" si="8"/>
        <v>151</v>
      </c>
      <c r="H43" s="9">
        <f t="shared" si="9"/>
        <v>-1.6687848814720672</v>
      </c>
      <c r="I43" s="3">
        <v>326675</v>
      </c>
      <c r="J43" s="2">
        <v>10187</v>
      </c>
      <c r="K43" s="2">
        <v>7089.35</v>
      </c>
      <c r="L43" s="2">
        <f t="shared" si="10"/>
        <v>3097.6499999999996</v>
      </c>
      <c r="M43" s="15">
        <v>0.19</v>
      </c>
      <c r="N43" s="8">
        <f t="shared" si="11"/>
        <v>1690.5250000000001</v>
      </c>
      <c r="O43" s="2">
        <f t="shared" si="12"/>
        <v>10588.025</v>
      </c>
      <c r="P43" s="1" t="s">
        <v>64</v>
      </c>
      <c r="Q43" s="1">
        <v>8995</v>
      </c>
      <c r="R43" s="1">
        <v>9000</v>
      </c>
      <c r="S43" s="1">
        <v>1</v>
      </c>
      <c r="T43" s="1">
        <f t="shared" si="13"/>
        <v>8995</v>
      </c>
      <c r="U43" s="1">
        <f t="shared" si="14"/>
        <v>9000</v>
      </c>
      <c r="V43" s="3">
        <f t="shared" si="15"/>
        <v>5</v>
      </c>
      <c r="W43" s="3">
        <f>Table1[[#This Row],[Expected Target Price]]-Table1[[#This Row],[LTP 
]]</f>
        <v>1690.5249999999996</v>
      </c>
      <c r="X43" s="31" t="str">
        <f>IF(Table1[[#This Row],[Intraday profit/-Loss]]&lt;0, "LOSS", "PROFIT")</f>
        <v>PROFIT</v>
      </c>
    </row>
    <row r="44" spans="1:24" ht="23.25" customHeight="1" x14ac:dyDescent="0.25">
      <c r="A44" s="19" t="s">
        <v>7</v>
      </c>
      <c r="B44" s="2">
        <v>1297</v>
      </c>
      <c r="C44" s="2">
        <v>1302.9000000000001</v>
      </c>
      <c r="D44" s="2">
        <v>1278.2</v>
      </c>
      <c r="E44" s="2">
        <v>1300.7</v>
      </c>
      <c r="F44" s="2">
        <v>1281.0999999999999</v>
      </c>
      <c r="G44" s="6">
        <f t="shared" si="8"/>
        <v>19.600000000000136</v>
      </c>
      <c r="H44" s="9">
        <f t="shared" si="9"/>
        <v>-1.5068809102790908</v>
      </c>
      <c r="I44" s="3">
        <v>2165113</v>
      </c>
      <c r="J44" s="2">
        <v>1379.7</v>
      </c>
      <c r="K44" s="2">
        <v>1020</v>
      </c>
      <c r="L44" s="2">
        <f t="shared" si="10"/>
        <v>359.70000000000005</v>
      </c>
      <c r="M44" s="15">
        <v>0.3</v>
      </c>
      <c r="N44" s="8">
        <f t="shared" si="11"/>
        <v>384.33</v>
      </c>
      <c r="O44" s="2">
        <f t="shared" si="12"/>
        <v>1665.4299999999998</v>
      </c>
      <c r="P44" s="1" t="s">
        <v>64</v>
      </c>
      <c r="Q44" s="1">
        <v>1301</v>
      </c>
      <c r="R44" s="1">
        <v>1284</v>
      </c>
      <c r="S44" s="1">
        <v>5</v>
      </c>
      <c r="T44" s="1">
        <f t="shared" si="13"/>
        <v>6505</v>
      </c>
      <c r="U44" s="1">
        <f t="shared" si="14"/>
        <v>6420</v>
      </c>
      <c r="V44" s="3">
        <f t="shared" si="15"/>
        <v>-85</v>
      </c>
      <c r="W44" s="3">
        <f>Table1[[#This Row],[Expected Target Price]]-Table1[[#This Row],[LTP 
]]</f>
        <v>384.32999999999993</v>
      </c>
      <c r="X44" s="31" t="str">
        <f>IF(Table1[[#This Row],[Intraday profit/-Loss]]&lt;0, "LOSS", "PROFIT")</f>
        <v>LOSS</v>
      </c>
    </row>
    <row r="45" spans="1:24" ht="23.25" customHeight="1" x14ac:dyDescent="0.25">
      <c r="A45" s="19" t="s">
        <v>6</v>
      </c>
      <c r="B45" s="2">
        <v>1226.5</v>
      </c>
      <c r="C45" s="2">
        <v>1249.2</v>
      </c>
      <c r="D45" s="2">
        <v>1226.5</v>
      </c>
      <c r="E45" s="2">
        <v>1244.4000000000001</v>
      </c>
      <c r="F45" s="2">
        <v>1242</v>
      </c>
      <c r="G45" s="6">
        <f t="shared" si="8"/>
        <v>2.4000000000000909</v>
      </c>
      <c r="H45" s="9">
        <f t="shared" si="9"/>
        <v>-0.19286403085825224</v>
      </c>
      <c r="I45" s="3">
        <v>2220695</v>
      </c>
      <c r="J45" s="2">
        <v>1673</v>
      </c>
      <c r="K45" s="2">
        <v>1216.5999999999999</v>
      </c>
      <c r="L45" s="2">
        <f t="shared" si="10"/>
        <v>456.40000000000009</v>
      </c>
      <c r="M45" s="15">
        <v>0.32</v>
      </c>
      <c r="N45" s="8">
        <f t="shared" si="11"/>
        <v>397.44</v>
      </c>
      <c r="O45" s="2">
        <f t="shared" si="12"/>
        <v>1639.44</v>
      </c>
      <c r="P45" s="1" t="s">
        <v>66</v>
      </c>
      <c r="Q45" s="1">
        <v>1244</v>
      </c>
      <c r="R45" s="1">
        <v>1230</v>
      </c>
      <c r="S45" s="1">
        <v>5</v>
      </c>
      <c r="T45" s="1">
        <f t="shared" si="13"/>
        <v>6220</v>
      </c>
      <c r="U45" s="1">
        <f t="shared" si="14"/>
        <v>6150</v>
      </c>
      <c r="V45" s="3">
        <f t="shared" si="15"/>
        <v>-70</v>
      </c>
      <c r="W45" s="3">
        <f>Table1[[#This Row],[Expected Target Price]]-Table1[[#This Row],[LTP 
]]</f>
        <v>397.44000000000005</v>
      </c>
      <c r="X45" s="31" t="str">
        <f>IF(Table1[[#This Row],[Intraday profit/-Loss]]&lt;0, "LOSS", "PROFIT")</f>
        <v>LOSS</v>
      </c>
    </row>
    <row r="46" spans="1:24" ht="23.25" customHeight="1" x14ac:dyDescent="0.25">
      <c r="A46" s="19" t="s">
        <v>5</v>
      </c>
      <c r="B46" s="1">
        <v>605</v>
      </c>
      <c r="C46" s="1">
        <v>612.45000000000005</v>
      </c>
      <c r="D46" s="1">
        <v>600</v>
      </c>
      <c r="E46" s="1">
        <v>612.9</v>
      </c>
      <c r="F46" s="1">
        <v>610.9</v>
      </c>
      <c r="G46" s="6">
        <f t="shared" si="8"/>
        <v>2</v>
      </c>
      <c r="H46" s="9">
        <f t="shared" si="9"/>
        <v>-0.32631750693424705</v>
      </c>
      <c r="I46" s="3">
        <v>4422345</v>
      </c>
      <c r="J46" s="1">
        <v>820.75</v>
      </c>
      <c r="K46" s="1">
        <v>590.04999999999995</v>
      </c>
      <c r="L46" s="2">
        <f t="shared" si="10"/>
        <v>230.70000000000005</v>
      </c>
      <c r="M46" s="15">
        <v>0.2</v>
      </c>
      <c r="N46" s="8">
        <f t="shared" si="11"/>
        <v>122.18</v>
      </c>
      <c r="O46" s="2">
        <f t="shared" si="12"/>
        <v>733.07999999999993</v>
      </c>
      <c r="P46" s="1" t="s">
        <v>68</v>
      </c>
      <c r="Q46" s="1">
        <v>610</v>
      </c>
      <c r="R46" s="1">
        <v>612</v>
      </c>
      <c r="S46" s="1">
        <v>10</v>
      </c>
      <c r="T46" s="1">
        <f t="shared" si="13"/>
        <v>6100</v>
      </c>
      <c r="U46" s="1">
        <f t="shared" si="14"/>
        <v>6120</v>
      </c>
      <c r="V46" s="3">
        <f t="shared" si="15"/>
        <v>20</v>
      </c>
      <c r="W46" s="3">
        <f>Table1[[#This Row],[Expected Target Price]]-Table1[[#This Row],[LTP 
]]</f>
        <v>122.17999999999995</v>
      </c>
      <c r="X46" s="31" t="str">
        <f>IF(Table1[[#This Row],[Intraday profit/-Loss]]&lt;0, "LOSS", "PROFIT")</f>
        <v>PROFIT</v>
      </c>
    </row>
    <row r="47" spans="1:24" ht="23.25" customHeight="1" x14ac:dyDescent="0.25">
      <c r="A47" s="19" t="s">
        <v>4</v>
      </c>
      <c r="B47" s="1">
        <v>978.1</v>
      </c>
      <c r="C47" s="1">
        <v>990.8</v>
      </c>
      <c r="D47" s="1">
        <v>970.8</v>
      </c>
      <c r="E47" s="1">
        <v>988.2</v>
      </c>
      <c r="F47" s="1">
        <v>977</v>
      </c>
      <c r="G47" s="6">
        <f t="shared" si="8"/>
        <v>11.200000000000045</v>
      </c>
      <c r="H47" s="9">
        <f t="shared" si="9"/>
        <v>-1.1333738109694438</v>
      </c>
      <c r="I47" s="3">
        <v>2557821</v>
      </c>
      <c r="J47" s="2">
        <v>1314.3</v>
      </c>
      <c r="K47" s="1">
        <v>933.8</v>
      </c>
      <c r="L47" s="2">
        <f t="shared" si="10"/>
        <v>380.5</v>
      </c>
      <c r="M47" s="15">
        <v>0.18</v>
      </c>
      <c r="N47" s="8">
        <f t="shared" si="11"/>
        <v>175.85999999999999</v>
      </c>
      <c r="O47" s="2">
        <f t="shared" si="12"/>
        <v>1152.8599999999999</v>
      </c>
      <c r="P47" s="1" t="s">
        <v>64</v>
      </c>
      <c r="Q47" s="1">
        <v>975</v>
      </c>
      <c r="R47" s="1">
        <v>980</v>
      </c>
      <c r="S47" s="1">
        <v>5</v>
      </c>
      <c r="T47" s="1">
        <f t="shared" si="13"/>
        <v>4875</v>
      </c>
      <c r="U47" s="1">
        <f t="shared" si="14"/>
        <v>4900</v>
      </c>
      <c r="V47" s="3">
        <f t="shared" si="15"/>
        <v>25</v>
      </c>
      <c r="W47" s="3">
        <f>Table1[[#This Row],[Expected Target Price]]-Table1[[#This Row],[LTP 
]]</f>
        <v>175.8599999999999</v>
      </c>
      <c r="X47" s="31" t="str">
        <f>IF(Table1[[#This Row],[Intraday profit/-Loss]]&lt;0, "LOSS", "PROFIT")</f>
        <v>PROFIT</v>
      </c>
    </row>
    <row r="48" spans="1:24" ht="23.25" customHeight="1" x14ac:dyDescent="0.25">
      <c r="A48" s="19" t="s">
        <v>3</v>
      </c>
      <c r="B48" s="2">
        <v>2246.3000000000002</v>
      </c>
      <c r="C48" s="2">
        <v>2269</v>
      </c>
      <c r="D48" s="2">
        <v>2201.1</v>
      </c>
      <c r="E48" s="2">
        <v>2270.1999999999998</v>
      </c>
      <c r="F48" s="2">
        <v>2209.1999999999998</v>
      </c>
      <c r="G48" s="6">
        <f t="shared" si="8"/>
        <v>61</v>
      </c>
      <c r="H48" s="9">
        <f t="shared" si="9"/>
        <v>-2.686987930578804</v>
      </c>
      <c r="I48" s="3">
        <v>1089010</v>
      </c>
      <c r="J48" s="2">
        <v>2985.7</v>
      </c>
      <c r="K48" s="2">
        <v>2115</v>
      </c>
      <c r="L48" s="2">
        <f t="shared" si="10"/>
        <v>870.69999999999982</v>
      </c>
      <c r="M48" s="15">
        <v>0.15</v>
      </c>
      <c r="N48" s="8">
        <f t="shared" si="11"/>
        <v>331.37999999999994</v>
      </c>
      <c r="O48" s="2">
        <f t="shared" si="12"/>
        <v>2540.58</v>
      </c>
      <c r="P48" s="1" t="s">
        <v>64</v>
      </c>
      <c r="Q48" s="1">
        <v>2250</v>
      </c>
      <c r="R48" s="1">
        <v>2210</v>
      </c>
      <c r="S48" s="1">
        <v>2</v>
      </c>
      <c r="T48" s="1">
        <f t="shared" si="13"/>
        <v>4500</v>
      </c>
      <c r="U48" s="1">
        <f t="shared" si="14"/>
        <v>4420</v>
      </c>
      <c r="V48" s="3">
        <f t="shared" si="15"/>
        <v>-80</v>
      </c>
      <c r="W48" s="3">
        <f>Table1[[#This Row],[Expected Target Price]]-Table1[[#This Row],[LTP 
]]</f>
        <v>331.38000000000011</v>
      </c>
      <c r="X48" s="31" t="str">
        <f>IF(Table1[[#This Row],[Intraday profit/-Loss]]&lt;0, "LOSS", "PROFIT")</f>
        <v>LOSS</v>
      </c>
    </row>
    <row r="49" spans="1:24" ht="23.25" customHeight="1" x14ac:dyDescent="0.25">
      <c r="A49" s="19" t="s">
        <v>2</v>
      </c>
      <c r="B49" s="2">
        <v>1204.0999999999999</v>
      </c>
      <c r="C49" s="2">
        <v>1215.7</v>
      </c>
      <c r="D49" s="2">
        <v>1188.3</v>
      </c>
      <c r="E49" s="2">
        <v>1204.0999999999999</v>
      </c>
      <c r="F49" s="2">
        <v>1194.0999999999999</v>
      </c>
      <c r="G49" s="6">
        <f t="shared" si="8"/>
        <v>10</v>
      </c>
      <c r="H49" s="9">
        <f t="shared" si="9"/>
        <v>-0.83049580599617967</v>
      </c>
      <c r="I49" s="3">
        <v>2005121</v>
      </c>
      <c r="J49" s="2">
        <v>1340.4</v>
      </c>
      <c r="K49" s="2">
        <v>1074</v>
      </c>
      <c r="L49" s="2">
        <f t="shared" si="10"/>
        <v>266.40000000000009</v>
      </c>
      <c r="M49" s="15">
        <v>0.25</v>
      </c>
      <c r="N49" s="8">
        <f t="shared" si="11"/>
        <v>298.52499999999998</v>
      </c>
      <c r="O49" s="2">
        <f t="shared" si="12"/>
        <v>1492.625</v>
      </c>
      <c r="P49" s="1" t="s">
        <v>64</v>
      </c>
      <c r="Q49" s="1">
        <v>1200</v>
      </c>
      <c r="R49" s="1">
        <v>1206</v>
      </c>
      <c r="S49" s="1">
        <v>3</v>
      </c>
      <c r="T49" s="1">
        <f t="shared" si="13"/>
        <v>3600</v>
      </c>
      <c r="U49" s="1">
        <f t="shared" si="14"/>
        <v>3618</v>
      </c>
      <c r="V49" s="3">
        <f t="shared" si="15"/>
        <v>18</v>
      </c>
      <c r="W49" s="3">
        <f>Table1[[#This Row],[Expected Target Price]]-Table1[[#This Row],[LTP 
]]</f>
        <v>298.52500000000009</v>
      </c>
      <c r="X49" s="31" t="str">
        <f>IF(Table1[[#This Row],[Intraday profit/-Loss]]&lt;0, "LOSS", "PROFIT")</f>
        <v>PROFIT</v>
      </c>
    </row>
    <row r="50" spans="1:24" ht="23.25" customHeight="1" x14ac:dyDescent="0.25">
      <c r="A50" s="19" t="s">
        <v>1</v>
      </c>
      <c r="B50" s="2">
        <v>1835.2</v>
      </c>
      <c r="C50" s="2">
        <v>1851.1</v>
      </c>
      <c r="D50" s="2">
        <v>1828.9</v>
      </c>
      <c r="E50" s="2">
        <v>1851.8</v>
      </c>
      <c r="F50" s="2">
        <v>1829.2</v>
      </c>
      <c r="G50" s="6">
        <f t="shared" si="8"/>
        <v>22.599999999999909</v>
      </c>
      <c r="H50" s="9">
        <f t="shared" si="9"/>
        <v>-1.2204341721568155</v>
      </c>
      <c r="I50" s="3">
        <v>1156884</v>
      </c>
      <c r="J50" s="2">
        <v>2132</v>
      </c>
      <c r="K50" s="2">
        <v>1430.55</v>
      </c>
      <c r="L50" s="2">
        <f t="shared" si="10"/>
        <v>701.45</v>
      </c>
      <c r="M50" s="15">
        <v>0.28000000000000003</v>
      </c>
      <c r="N50" s="8">
        <f t="shared" si="11"/>
        <v>512.17600000000004</v>
      </c>
      <c r="O50" s="2">
        <f t="shared" si="12"/>
        <v>2341.3760000000002</v>
      </c>
      <c r="P50" s="1" t="s">
        <v>64</v>
      </c>
      <c r="Q50" s="1">
        <v>1851</v>
      </c>
      <c r="R50" s="1">
        <v>1836</v>
      </c>
      <c r="S50" s="1">
        <v>4</v>
      </c>
      <c r="T50" s="1">
        <f t="shared" si="13"/>
        <v>7404</v>
      </c>
      <c r="U50" s="1">
        <f t="shared" si="14"/>
        <v>7344</v>
      </c>
      <c r="V50" s="3">
        <f t="shared" si="15"/>
        <v>-60</v>
      </c>
      <c r="W50" s="3">
        <f>Table1[[#This Row],[Expected Target Price]]-Table1[[#This Row],[LTP 
]]</f>
        <v>512.17600000000016</v>
      </c>
      <c r="X50" s="31" t="str">
        <f>IF(Table1[[#This Row],[Intraday profit/-Loss]]&lt;0, "LOSS", "PROFIT")</f>
        <v>LOSS</v>
      </c>
    </row>
    <row r="51" spans="1:24" ht="23.25" customHeight="1" thickBot="1" x14ac:dyDescent="0.3">
      <c r="A51" s="20" t="s">
        <v>0</v>
      </c>
      <c r="B51" s="4">
        <v>1049.3</v>
      </c>
      <c r="C51" s="4">
        <v>1057.5</v>
      </c>
      <c r="D51" s="4">
        <v>1032.7</v>
      </c>
      <c r="E51" s="4">
        <v>1056.0999999999999</v>
      </c>
      <c r="F51" s="4">
        <v>1043.7</v>
      </c>
      <c r="G51" s="7">
        <f t="shared" si="8"/>
        <v>12.399999999999864</v>
      </c>
      <c r="H51" s="10">
        <f t="shared" si="9"/>
        <v>-1.1741312375721866</v>
      </c>
      <c r="I51" s="5">
        <v>1815831</v>
      </c>
      <c r="J51" s="2">
        <v>1220.9000000000001</v>
      </c>
      <c r="K51" s="1">
        <v>952.5</v>
      </c>
      <c r="L51" s="2">
        <f t="shared" si="10"/>
        <v>268.40000000000009</v>
      </c>
      <c r="M51" s="15">
        <v>0.25</v>
      </c>
      <c r="N51" s="8">
        <f t="shared" si="11"/>
        <v>260.92500000000001</v>
      </c>
      <c r="O51" s="2">
        <f t="shared" si="12"/>
        <v>1304.625</v>
      </c>
      <c r="P51" s="1" t="s">
        <v>69</v>
      </c>
      <c r="Q51" s="1">
        <v>1050</v>
      </c>
      <c r="R51" s="1">
        <v>1039</v>
      </c>
      <c r="S51" s="1">
        <v>11</v>
      </c>
      <c r="T51" s="1">
        <f t="shared" si="13"/>
        <v>11550</v>
      </c>
      <c r="U51" s="1">
        <f t="shared" si="14"/>
        <v>11429</v>
      </c>
      <c r="V51" s="3">
        <f t="shared" si="15"/>
        <v>-121</v>
      </c>
      <c r="W51" s="3">
        <f>Table1[[#This Row],[Expected Target Price]]-Table1[[#This Row],[LTP 
]]</f>
        <v>260.92499999999995</v>
      </c>
      <c r="X51" s="31" t="str">
        <f>IF(Table1[[#This Row],[Intraday profit/-Loss]]&lt;0, "LOSS", "PROFIT")</f>
        <v>LOSS</v>
      </c>
    </row>
    <row r="52" spans="1:24" ht="29.25" customHeight="1" thickBot="1" x14ac:dyDescent="0.3">
      <c r="T52" s="24">
        <f>SUM(T2:T51)</f>
        <v>681986</v>
      </c>
      <c r="U52" s="25">
        <f>SUM(U2:U51)</f>
        <v>683409</v>
      </c>
      <c r="V52" s="26">
        <f>SUM(V2:V51)</f>
        <v>1423</v>
      </c>
      <c r="W52" s="33"/>
    </row>
  </sheetData>
  <conditionalFormatting sqref="H1:H51">
    <cfRule type="dataBar" priority="8">
      <dataBar>
        <cfvo type="min"/>
        <cfvo type="max"/>
        <color rgb="FFFF555A"/>
      </dataBar>
      <extLst>
        <ext xmlns:x14="http://schemas.microsoft.com/office/spreadsheetml/2009/9/main" uri="{B025F937-C7B1-47D3-B67F-A62EFF666E3E}">
          <x14:id>{A65804FB-511A-4600-83A7-344972CA11F2}</x14:id>
        </ext>
      </extLst>
    </cfRule>
  </conditionalFormatting>
  <conditionalFormatting sqref="T2:T51">
    <cfRule type="cellIs" dxfId="2" priority="4" operator="greaterThan">
      <formula>30000</formula>
    </cfRule>
  </conditionalFormatting>
  <conditionalFormatting sqref="V1:W1048576">
    <cfRule type="colorScale" priority="3">
      <colorScale>
        <cfvo type="min"/>
        <cfvo type="percentile" val="50"/>
        <cfvo type="max"/>
        <color rgb="FFF8696B"/>
        <color rgb="FFFFEB84"/>
        <color rgb="FF63BE7B"/>
      </colorScale>
    </cfRule>
  </conditionalFormatting>
  <conditionalFormatting sqref="X1:X1048576">
    <cfRule type="containsText" dxfId="1" priority="2" operator="containsText" text="PROFIT">
      <formula>NOT(ISERROR(SEARCH("PROFIT",X1)))</formula>
    </cfRule>
  </conditionalFormatting>
  <conditionalFormatting sqref="X2:X51">
    <cfRule type="containsText" dxfId="0" priority="1" operator="containsText" text="LOSS">
      <formula>NOT(ISERROR(SEARCH("LOSS",X2)))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65804FB-511A-4600-83A7-344972CA11F2}">
            <x14:dataBar minLength="0" maxLength="100" border="1" negativeBarBorderColorSameAsPositive="0">
              <x14:cfvo type="autoMin"/>
              <x14:cfvo type="autoMax"/>
              <x14:borderColor rgb="FFFF555A"/>
              <x14:negativeFillColor rgb="FFFF0000"/>
              <x14:negativeBorderColor rgb="FFFF0000"/>
              <x14:axisColor rgb="FF000000"/>
            </x14:dataBar>
          </x14:cfRule>
          <xm:sqref>H1:H51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01AA2-9583-4B26-81D9-F86A833C4E4D}">
  <dimension ref="C3:U16"/>
  <sheetViews>
    <sheetView workbookViewId="0">
      <selection activeCell="L14" sqref="L14"/>
    </sheetView>
  </sheetViews>
  <sheetFormatPr defaultRowHeight="15" x14ac:dyDescent="0.25"/>
  <cols>
    <col min="3" max="3" width="18.28515625" bestFit="1" customWidth="1"/>
    <col min="4" max="4" width="11" customWidth="1"/>
    <col min="10" max="10" width="19.7109375" bestFit="1" customWidth="1"/>
    <col min="12" max="12" width="24.7109375" bestFit="1" customWidth="1"/>
    <col min="15" max="15" width="24.7109375" bestFit="1" customWidth="1"/>
    <col min="18" max="18" width="26.140625" bestFit="1" customWidth="1"/>
    <col min="21" max="21" width="21.5703125" bestFit="1" customWidth="1"/>
  </cols>
  <sheetData>
    <row r="3" spans="3:21" x14ac:dyDescent="0.25">
      <c r="C3" t="s">
        <v>98</v>
      </c>
    </row>
    <row r="4" spans="3:21" x14ac:dyDescent="0.25">
      <c r="C4" s="29" t="s">
        <v>92</v>
      </c>
      <c r="D4" s="29" t="s">
        <v>91</v>
      </c>
      <c r="J4" t="s">
        <v>118</v>
      </c>
      <c r="L4" t="s">
        <v>80</v>
      </c>
      <c r="O4" t="s">
        <v>81</v>
      </c>
      <c r="R4" t="s">
        <v>104</v>
      </c>
      <c r="U4" t="s">
        <v>119</v>
      </c>
    </row>
    <row r="5" spans="3:21" ht="28.5" x14ac:dyDescent="0.45">
      <c r="C5" s="1" t="s">
        <v>93</v>
      </c>
      <c r="D5" s="1">
        <f>SUM(Table1[BUY Quantity])</f>
        <v>1731</v>
      </c>
      <c r="J5" s="38">
        <v>314</v>
      </c>
      <c r="L5" s="34">
        <v>254056</v>
      </c>
      <c r="O5" s="35">
        <v>250264</v>
      </c>
      <c r="R5" s="36">
        <v>-3792</v>
      </c>
      <c r="U5" s="37">
        <v>15289.781800000001</v>
      </c>
    </row>
    <row r="6" spans="3:21" x14ac:dyDescent="0.25">
      <c r="C6" s="1" t="s">
        <v>95</v>
      </c>
      <c r="D6" s="1">
        <f>SUM(Table1[Intraday BUY value])</f>
        <v>681986</v>
      </c>
    </row>
    <row r="7" spans="3:21" x14ac:dyDescent="0.25">
      <c r="C7" s="1" t="s">
        <v>94</v>
      </c>
      <c r="D7" s="1">
        <f>SUM(NIFTY50!U3:U51)</f>
        <v>668409</v>
      </c>
    </row>
    <row r="8" spans="3:21" x14ac:dyDescent="0.25">
      <c r="C8" s="1" t="s">
        <v>96</v>
      </c>
      <c r="D8" s="3">
        <f>SUM(Table1[Intraday profit/-Loss])</f>
        <v>1423</v>
      </c>
    </row>
    <row r="9" spans="3:21" x14ac:dyDescent="0.25">
      <c r="C9" s="1" t="s">
        <v>103</v>
      </c>
      <c r="D9" s="3">
        <f>SUM(Table1[Potential Profit])</f>
        <v>23978.710000000003</v>
      </c>
    </row>
    <row r="10" spans="3:21" x14ac:dyDescent="0.25">
      <c r="C10" t="s">
        <v>99</v>
      </c>
    </row>
    <row r="11" spans="3:21" x14ac:dyDescent="0.25">
      <c r="C11" t="s">
        <v>110</v>
      </c>
    </row>
    <row r="12" spans="3:21" x14ac:dyDescent="0.25">
      <c r="C12" t="s">
        <v>108</v>
      </c>
    </row>
    <row r="13" spans="3:21" x14ac:dyDescent="0.25">
      <c r="C13" t="s">
        <v>111</v>
      </c>
    </row>
    <row r="14" spans="3:21" x14ac:dyDescent="0.25">
      <c r="C14" t="s">
        <v>100</v>
      </c>
    </row>
    <row r="15" spans="3:21" x14ac:dyDescent="0.25">
      <c r="C15" t="s">
        <v>114</v>
      </c>
    </row>
    <row r="16" spans="3:21" x14ac:dyDescent="0.25">
      <c r="C16" t="s">
        <v>106</v>
      </c>
    </row>
  </sheetData>
  <pageMargins left="0.7" right="0.7" top="0.75" bottom="0.75" header="0.3" footer="0.3"/>
  <pageSetup paperSize="9"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6DCF-1160-46DA-A983-B1F3F0756E99}">
  <dimension ref="A1:R53"/>
  <sheetViews>
    <sheetView topLeftCell="G1" workbookViewId="0">
      <selection activeCell="K44" sqref="K44"/>
    </sheetView>
  </sheetViews>
  <sheetFormatPr defaultRowHeight="15" x14ac:dyDescent="0.25"/>
  <cols>
    <col min="1" max="1" width="13.140625" bestFit="1" customWidth="1"/>
    <col min="2" max="2" width="16.7109375" bestFit="1" customWidth="1"/>
    <col min="4" max="4" width="13.7109375" bestFit="1" customWidth="1"/>
    <col min="5" max="5" width="26.140625" bestFit="1" customWidth="1"/>
    <col min="7" max="7" width="13.7109375" bestFit="1" customWidth="1"/>
    <col min="8" max="8" width="16.28515625" bestFit="1" customWidth="1"/>
    <col min="10" max="10" width="21" bestFit="1" customWidth="1"/>
    <col min="11" max="11" width="26.140625" bestFit="1" customWidth="1"/>
    <col min="13" max="13" width="13.7109375" bestFit="1" customWidth="1"/>
    <col min="14" max="14" width="17" bestFit="1" customWidth="1"/>
    <col min="16" max="16" width="13.7109375" bestFit="1" customWidth="1"/>
    <col min="17" max="17" width="9.7109375" bestFit="1" customWidth="1"/>
    <col min="18" max="18" width="9" bestFit="1" customWidth="1"/>
    <col min="19" max="19" width="6" bestFit="1" customWidth="1"/>
    <col min="20" max="20" width="7" bestFit="1" customWidth="1"/>
    <col min="21" max="21" width="6" bestFit="1" customWidth="1"/>
    <col min="22" max="22" width="7" bestFit="1" customWidth="1"/>
    <col min="23" max="23" width="6" bestFit="1" customWidth="1"/>
    <col min="24" max="27" width="7" bestFit="1" customWidth="1"/>
    <col min="28" max="28" width="6" bestFit="1" customWidth="1"/>
    <col min="29" max="30" width="7" bestFit="1" customWidth="1"/>
    <col min="31" max="31" width="6" bestFit="1" customWidth="1"/>
    <col min="32" max="32" width="7" bestFit="1" customWidth="1"/>
    <col min="33" max="34" width="6" bestFit="1" customWidth="1"/>
    <col min="35" max="38" width="7" bestFit="1" customWidth="1"/>
    <col min="39" max="39" width="8" bestFit="1" customWidth="1"/>
    <col min="40" max="44" width="7" bestFit="1" customWidth="1"/>
    <col min="45" max="45" width="8" bestFit="1" customWidth="1"/>
    <col min="46" max="46" width="7" bestFit="1" customWidth="1"/>
    <col min="47" max="47" width="8" bestFit="1" customWidth="1"/>
    <col min="48" max="48" width="7" bestFit="1" customWidth="1"/>
    <col min="49" max="49" width="5" bestFit="1" customWidth="1"/>
    <col min="50" max="50" width="7" bestFit="1" customWidth="1"/>
    <col min="51" max="51" width="8" bestFit="1" customWidth="1"/>
    <col min="52" max="52" width="5" bestFit="1" customWidth="1"/>
    <col min="53" max="56" width="7" bestFit="1" customWidth="1"/>
    <col min="57" max="57" width="5" bestFit="1" customWidth="1"/>
    <col min="58" max="61" width="7" bestFit="1" customWidth="1"/>
    <col min="62" max="64" width="8" bestFit="1" customWidth="1"/>
    <col min="65" max="65" width="6" bestFit="1" customWidth="1"/>
    <col min="66" max="66" width="9" bestFit="1" customWidth="1"/>
    <col min="67" max="67" width="11.28515625" bestFit="1" customWidth="1"/>
  </cols>
  <sheetData>
    <row r="1" spans="1:18" x14ac:dyDescent="0.25">
      <c r="D1" t="s">
        <v>112</v>
      </c>
      <c r="J1" s="21" t="s">
        <v>82</v>
      </c>
      <c r="K1" t="s">
        <v>120</v>
      </c>
    </row>
    <row r="2" spans="1:18" x14ac:dyDescent="0.25">
      <c r="D2" s="21" t="s">
        <v>77</v>
      </c>
      <c r="E2" t="s">
        <v>104</v>
      </c>
      <c r="G2" t="s">
        <v>102</v>
      </c>
      <c r="J2" t="s">
        <v>113</v>
      </c>
      <c r="M2" t="s">
        <v>105</v>
      </c>
    </row>
    <row r="3" spans="1:18" x14ac:dyDescent="0.25">
      <c r="A3" s="21" t="s">
        <v>77</v>
      </c>
      <c r="B3" t="s">
        <v>109</v>
      </c>
      <c r="D3" s="22" t="s">
        <v>21</v>
      </c>
      <c r="E3" s="23">
        <v>825</v>
      </c>
      <c r="G3" s="21" t="s">
        <v>77</v>
      </c>
      <c r="H3" t="s">
        <v>107</v>
      </c>
      <c r="J3" s="21" t="s">
        <v>77</v>
      </c>
      <c r="K3" t="s">
        <v>104</v>
      </c>
      <c r="M3" s="21" t="s">
        <v>77</v>
      </c>
      <c r="N3" t="s">
        <v>115</v>
      </c>
      <c r="P3" s="21" t="s">
        <v>77</v>
      </c>
      <c r="Q3" t="s">
        <v>116</v>
      </c>
      <c r="R3" t="s">
        <v>117</v>
      </c>
    </row>
    <row r="4" spans="1:18" x14ac:dyDescent="0.25">
      <c r="A4" s="22" t="s">
        <v>32</v>
      </c>
      <c r="B4" s="30">
        <v>56.833000000000006</v>
      </c>
      <c r="D4" s="22" t="s">
        <v>19</v>
      </c>
      <c r="E4" s="23">
        <v>15</v>
      </c>
      <c r="G4" s="22" t="s">
        <v>20</v>
      </c>
      <c r="H4" s="28">
        <v>2.385907168407074E-2</v>
      </c>
      <c r="J4" s="22" t="s">
        <v>20</v>
      </c>
      <c r="K4" s="23">
        <v>-100</v>
      </c>
      <c r="M4" s="22" t="s">
        <v>20</v>
      </c>
      <c r="N4" s="23">
        <v>2585257</v>
      </c>
      <c r="P4" s="22" t="s">
        <v>20</v>
      </c>
      <c r="Q4">
        <v>1813.7</v>
      </c>
      <c r="R4">
        <v>1824</v>
      </c>
    </row>
    <row r="5" spans="1:18" x14ac:dyDescent="0.25">
      <c r="A5" s="22" t="s">
        <v>26</v>
      </c>
      <c r="B5" s="30">
        <v>58.910000000000004</v>
      </c>
      <c r="D5" s="22" t="s">
        <v>17</v>
      </c>
      <c r="E5" s="23">
        <v>-190</v>
      </c>
      <c r="G5" s="22" t="s">
        <v>11</v>
      </c>
      <c r="H5" s="28">
        <v>1.4021390416441392E-2</v>
      </c>
      <c r="J5" s="22" t="s">
        <v>11</v>
      </c>
      <c r="K5" s="23">
        <v>-80</v>
      </c>
      <c r="M5" s="22" t="s">
        <v>11</v>
      </c>
      <c r="N5" s="23">
        <v>2667313</v>
      </c>
      <c r="P5" s="22" t="s">
        <v>11</v>
      </c>
      <c r="Q5">
        <v>1041.5</v>
      </c>
      <c r="R5">
        <v>1339.9</v>
      </c>
    </row>
    <row r="6" spans="1:18" x14ac:dyDescent="0.25">
      <c r="A6" s="22" t="s">
        <v>18</v>
      </c>
      <c r="B6" s="30">
        <v>55.68</v>
      </c>
      <c r="D6" s="22" t="s">
        <v>23</v>
      </c>
      <c r="E6" s="23">
        <v>-200</v>
      </c>
      <c r="G6" s="22" t="s">
        <v>14</v>
      </c>
      <c r="H6" s="28">
        <v>0.11846343026294859</v>
      </c>
      <c r="J6" s="22" t="s">
        <v>14</v>
      </c>
      <c r="K6" s="23">
        <v>-62</v>
      </c>
      <c r="M6" s="22" t="s">
        <v>14</v>
      </c>
      <c r="N6" s="23">
        <v>533512</v>
      </c>
      <c r="P6" s="22" t="s">
        <v>14</v>
      </c>
      <c r="Q6">
        <v>6430.25</v>
      </c>
      <c r="R6">
        <v>7547</v>
      </c>
    </row>
    <row r="7" spans="1:18" x14ac:dyDescent="0.25">
      <c r="A7" s="22" t="s">
        <v>37</v>
      </c>
      <c r="B7" s="30">
        <v>44.057999999999993</v>
      </c>
      <c r="D7" s="22" t="s">
        <v>15</v>
      </c>
      <c r="E7" s="23">
        <v>7</v>
      </c>
      <c r="G7" s="22" t="s">
        <v>3</v>
      </c>
      <c r="H7" s="28">
        <v>2.1673298176171495E-2</v>
      </c>
      <c r="J7" s="22" t="s">
        <v>3</v>
      </c>
      <c r="K7" s="23">
        <v>-80</v>
      </c>
      <c r="M7" s="22" t="s">
        <v>3</v>
      </c>
      <c r="N7" s="23">
        <v>1089010</v>
      </c>
      <c r="P7" s="22" t="s">
        <v>3</v>
      </c>
      <c r="Q7">
        <v>2115</v>
      </c>
      <c r="R7">
        <v>2209.1999999999998</v>
      </c>
    </row>
    <row r="8" spans="1:18" x14ac:dyDescent="0.25">
      <c r="A8" s="22" t="s">
        <v>44</v>
      </c>
      <c r="B8" s="30">
        <v>56.220000000000006</v>
      </c>
      <c r="D8" s="22" t="s">
        <v>12</v>
      </c>
      <c r="E8" s="23">
        <v>-20</v>
      </c>
      <c r="G8" s="22" t="s">
        <v>16</v>
      </c>
      <c r="H8" s="28">
        <v>3.5468393669293559E-2</v>
      </c>
      <c r="J8" s="22" t="s">
        <v>16</v>
      </c>
      <c r="K8" s="23">
        <v>-94</v>
      </c>
      <c r="M8" s="22" t="s">
        <v>16</v>
      </c>
      <c r="N8" s="23">
        <v>2522237</v>
      </c>
      <c r="P8" s="22" t="s">
        <v>16</v>
      </c>
      <c r="Q8">
        <v>1662.7</v>
      </c>
      <c r="R8">
        <v>1694.7</v>
      </c>
    </row>
    <row r="9" spans="1:18" x14ac:dyDescent="0.25">
      <c r="A9" s="22" t="s">
        <v>31</v>
      </c>
      <c r="B9" s="30">
        <v>44.354999999999997</v>
      </c>
      <c r="D9" s="22" t="s">
        <v>40</v>
      </c>
      <c r="E9" s="23">
        <v>50</v>
      </c>
      <c r="G9" s="22" t="s">
        <v>34</v>
      </c>
      <c r="H9" s="28">
        <v>1.494821855469514E-2</v>
      </c>
      <c r="J9" s="22" t="s">
        <v>34</v>
      </c>
      <c r="K9" s="23">
        <v>-100</v>
      </c>
      <c r="M9" s="22" t="s">
        <v>34</v>
      </c>
      <c r="N9" s="23">
        <v>11282824</v>
      </c>
      <c r="P9" s="22" t="s">
        <v>34</v>
      </c>
      <c r="Q9">
        <v>787.9</v>
      </c>
      <c r="R9">
        <v>846.5</v>
      </c>
    </row>
    <row r="10" spans="1:18" x14ac:dyDescent="0.25">
      <c r="A10" s="22" t="s">
        <v>28</v>
      </c>
      <c r="B10" s="30">
        <v>44.433700000000002</v>
      </c>
      <c r="D10" s="22" t="s">
        <v>28</v>
      </c>
      <c r="E10" s="23">
        <v>250</v>
      </c>
      <c r="G10" s="22" t="s">
        <v>32</v>
      </c>
      <c r="H10" s="28">
        <v>3.7170576234122599E-3</v>
      </c>
      <c r="J10" s="22" t="s">
        <v>32</v>
      </c>
      <c r="K10" s="23">
        <v>-160</v>
      </c>
      <c r="M10" s="22" t="s">
        <v>32</v>
      </c>
      <c r="N10" s="23">
        <v>21818224</v>
      </c>
      <c r="P10" s="22" t="s">
        <v>32</v>
      </c>
      <c r="Q10">
        <v>256.2</v>
      </c>
      <c r="R10">
        <v>405.95</v>
      </c>
    </row>
    <row r="11" spans="1:18" x14ac:dyDescent="0.25">
      <c r="A11" s="22" t="s">
        <v>21</v>
      </c>
      <c r="B11" s="30">
        <v>47.837499999999999</v>
      </c>
      <c r="D11" s="22" t="s">
        <v>0</v>
      </c>
      <c r="E11" s="23">
        <v>-121</v>
      </c>
      <c r="G11" s="22" t="s">
        <v>6</v>
      </c>
      <c r="H11" s="28">
        <v>2.5993830729487587E-2</v>
      </c>
      <c r="J11" s="22" t="s">
        <v>6</v>
      </c>
      <c r="K11" s="23">
        <v>-70</v>
      </c>
      <c r="M11" s="22" t="s">
        <v>6</v>
      </c>
      <c r="N11" s="23">
        <v>2220695</v>
      </c>
      <c r="P11" s="22" t="s">
        <v>6</v>
      </c>
      <c r="Q11">
        <v>1216.5999999999999</v>
      </c>
      <c r="R11">
        <v>1242</v>
      </c>
    </row>
    <row r="12" spans="1:18" x14ac:dyDescent="0.25">
      <c r="A12" s="22" t="s">
        <v>78</v>
      </c>
      <c r="B12" s="30">
        <v>44.057999999999993</v>
      </c>
      <c r="D12" s="22" t="s">
        <v>22</v>
      </c>
      <c r="E12" s="23">
        <v>75</v>
      </c>
      <c r="G12" s="22" t="s">
        <v>30</v>
      </c>
      <c r="H12" s="28">
        <v>5.8221890386951089E-3</v>
      </c>
      <c r="J12" s="22" t="s">
        <v>30</v>
      </c>
      <c r="K12" s="23">
        <v>-100</v>
      </c>
      <c r="M12" s="22" t="s">
        <v>30</v>
      </c>
      <c r="N12" s="23">
        <v>17184280</v>
      </c>
      <c r="P12" s="22" t="s">
        <v>30</v>
      </c>
      <c r="Q12">
        <v>356</v>
      </c>
      <c r="R12">
        <v>445.1</v>
      </c>
    </row>
    <row r="13" spans="1:18" x14ac:dyDescent="0.25">
      <c r="D13" s="22" t="s">
        <v>38</v>
      </c>
      <c r="E13" s="23">
        <v>-350</v>
      </c>
      <c r="G13" s="22" t="s">
        <v>7</v>
      </c>
      <c r="H13" s="28">
        <v>2.5136395340841288E-2</v>
      </c>
      <c r="J13" s="22" t="s">
        <v>7</v>
      </c>
      <c r="K13" s="23">
        <v>-85</v>
      </c>
      <c r="M13" s="22" t="s">
        <v>7</v>
      </c>
      <c r="N13" s="23">
        <v>2165113</v>
      </c>
      <c r="P13" s="22" t="s">
        <v>7</v>
      </c>
      <c r="Q13">
        <v>1020</v>
      </c>
      <c r="R13">
        <v>1281.0999999999999</v>
      </c>
    </row>
    <row r="14" spans="1:18" x14ac:dyDescent="0.25">
      <c r="D14" s="22" t="s">
        <v>45</v>
      </c>
      <c r="E14" s="23">
        <v>-175</v>
      </c>
      <c r="G14" s="22" t="s">
        <v>13</v>
      </c>
      <c r="H14" s="28">
        <v>8.8935212927629889E-2</v>
      </c>
      <c r="J14" s="22" t="s">
        <v>13</v>
      </c>
      <c r="K14" s="23">
        <v>-100</v>
      </c>
      <c r="M14" s="22" t="s">
        <v>13</v>
      </c>
      <c r="N14" s="23">
        <v>533428</v>
      </c>
      <c r="P14" s="22" t="s">
        <v>13</v>
      </c>
      <c r="Q14">
        <v>4999.95</v>
      </c>
      <c r="R14">
        <v>6799</v>
      </c>
    </row>
    <row r="15" spans="1:18" x14ac:dyDescent="0.25">
      <c r="D15" s="22" t="s">
        <v>1</v>
      </c>
      <c r="E15" s="23">
        <v>-60</v>
      </c>
      <c r="G15" s="22" t="s">
        <v>33</v>
      </c>
      <c r="H15" s="28">
        <v>4.2615912282018319E-3</v>
      </c>
      <c r="J15" s="22" t="s">
        <v>33</v>
      </c>
      <c r="K15" s="23">
        <v>-150</v>
      </c>
      <c r="M15" s="22" t="s">
        <v>33</v>
      </c>
      <c r="N15" s="23">
        <v>38767229</v>
      </c>
      <c r="P15" s="22" t="s">
        <v>33</v>
      </c>
      <c r="Q15">
        <v>194.8</v>
      </c>
      <c r="R15">
        <v>232.71</v>
      </c>
    </row>
    <row r="16" spans="1:18" x14ac:dyDescent="0.25">
      <c r="D16" s="22" t="s">
        <v>47</v>
      </c>
      <c r="E16" s="23">
        <v>-150</v>
      </c>
      <c r="G16" s="22" t="s">
        <v>25</v>
      </c>
      <c r="H16" s="28">
        <v>3.456033623710706E-2</v>
      </c>
      <c r="J16" s="22" t="s">
        <v>25</v>
      </c>
      <c r="K16" s="23">
        <v>-150</v>
      </c>
      <c r="M16" s="22" t="s">
        <v>25</v>
      </c>
      <c r="N16" s="23">
        <v>2406056</v>
      </c>
      <c r="P16" s="22" t="s">
        <v>25</v>
      </c>
      <c r="Q16">
        <v>2465.5</v>
      </c>
      <c r="R16">
        <v>2642.1</v>
      </c>
    </row>
    <row r="17" spans="4:18" x14ac:dyDescent="0.25">
      <c r="D17" s="22" t="s">
        <v>31</v>
      </c>
      <c r="E17" s="23">
        <v>450</v>
      </c>
      <c r="G17" s="22" t="s">
        <v>49</v>
      </c>
      <c r="H17" s="28">
        <v>9.9144645739810376E-3</v>
      </c>
      <c r="J17" s="22" t="s">
        <v>49</v>
      </c>
      <c r="K17" s="23">
        <v>-400</v>
      </c>
      <c r="M17" s="22" t="s">
        <v>49</v>
      </c>
      <c r="N17" s="23">
        <v>65485199</v>
      </c>
      <c r="P17" s="22" t="s">
        <v>49</v>
      </c>
      <c r="Q17">
        <v>741.05</v>
      </c>
      <c r="R17">
        <v>757.95</v>
      </c>
    </row>
    <row r="18" spans="4:18" x14ac:dyDescent="0.25">
      <c r="D18" s="22" t="s">
        <v>44</v>
      </c>
      <c r="E18" s="23">
        <v>2500</v>
      </c>
      <c r="G18" s="22" t="s">
        <v>24</v>
      </c>
      <c r="H18" s="28">
        <v>3.3927887708639505E-2</v>
      </c>
      <c r="J18" s="22" t="s">
        <v>24</v>
      </c>
      <c r="K18" s="23">
        <v>-80</v>
      </c>
      <c r="M18" s="22" t="s">
        <v>24</v>
      </c>
      <c r="N18" s="23">
        <v>2789151</v>
      </c>
      <c r="P18" s="22" t="s">
        <v>24</v>
      </c>
      <c r="Q18">
        <v>2033.3</v>
      </c>
      <c r="R18">
        <v>2075</v>
      </c>
    </row>
    <row r="19" spans="4:18" x14ac:dyDescent="0.25">
      <c r="D19" s="22" t="s">
        <v>29</v>
      </c>
      <c r="E19" s="23">
        <v>90</v>
      </c>
      <c r="G19" s="22" t="s">
        <v>46</v>
      </c>
      <c r="H19" s="28">
        <v>1.2144385212874649E-2</v>
      </c>
      <c r="J19" s="22" t="s">
        <v>46</v>
      </c>
      <c r="K19" s="23">
        <v>-140</v>
      </c>
      <c r="M19" s="22" t="s">
        <v>46</v>
      </c>
      <c r="N19" s="23">
        <v>23630905</v>
      </c>
      <c r="P19" s="22" t="s">
        <v>46</v>
      </c>
      <c r="Q19">
        <v>1218.0999999999999</v>
      </c>
      <c r="R19">
        <v>1237.9000000000001</v>
      </c>
    </row>
    <row r="20" spans="4:18" x14ac:dyDescent="0.25">
      <c r="D20" s="22" t="s">
        <v>2</v>
      </c>
      <c r="E20" s="23">
        <v>18</v>
      </c>
      <c r="G20" s="22" t="s">
        <v>27</v>
      </c>
      <c r="H20" s="28">
        <v>4.0243543567116208E-2</v>
      </c>
      <c r="J20" s="22" t="s">
        <v>27</v>
      </c>
      <c r="K20" s="23">
        <v>-100</v>
      </c>
      <c r="M20" s="22" t="s">
        <v>27</v>
      </c>
      <c r="N20" s="23">
        <v>1693708</v>
      </c>
      <c r="P20" s="22" t="s">
        <v>27</v>
      </c>
      <c r="Q20">
        <v>3895.2</v>
      </c>
      <c r="R20">
        <v>4102.1000000000004</v>
      </c>
    </row>
    <row r="21" spans="4:18" x14ac:dyDescent="0.25">
      <c r="D21" s="22" t="s">
        <v>4</v>
      </c>
      <c r="E21" s="23">
        <v>25</v>
      </c>
      <c r="G21" s="22" t="s">
        <v>18</v>
      </c>
      <c r="H21" s="28">
        <v>3.6416477833581644E-3</v>
      </c>
      <c r="J21" s="22" t="s">
        <v>18</v>
      </c>
      <c r="K21" s="23">
        <v>-90</v>
      </c>
      <c r="M21" s="22" t="s">
        <v>18</v>
      </c>
      <c r="N21" s="23">
        <v>19784233</v>
      </c>
      <c r="P21" s="22" t="s">
        <v>18</v>
      </c>
      <c r="Q21">
        <v>203.1</v>
      </c>
      <c r="R21">
        <v>232</v>
      </c>
    </row>
    <row r="22" spans="4:18" x14ac:dyDescent="0.25">
      <c r="D22" s="22" t="s">
        <v>35</v>
      </c>
      <c r="E22" s="23">
        <v>-250</v>
      </c>
      <c r="G22" s="22" t="s">
        <v>9</v>
      </c>
      <c r="H22" s="28">
        <v>1.330417939646463E-2</v>
      </c>
      <c r="J22" s="22" t="s">
        <v>9</v>
      </c>
      <c r="K22" s="23">
        <v>-40</v>
      </c>
      <c r="M22" s="22" t="s">
        <v>9</v>
      </c>
      <c r="N22" s="23">
        <v>2750813</v>
      </c>
      <c r="P22" s="22" t="s">
        <v>9</v>
      </c>
      <c r="Q22">
        <v>905.2</v>
      </c>
      <c r="R22">
        <v>1130.0999999999999</v>
      </c>
    </row>
    <row r="23" spans="4:18" x14ac:dyDescent="0.25">
      <c r="D23" s="22" t="s">
        <v>36</v>
      </c>
      <c r="E23" s="23">
        <v>-40</v>
      </c>
      <c r="G23" s="22" t="s">
        <v>42</v>
      </c>
      <c r="H23" s="28">
        <v>9.3395708236987396E-2</v>
      </c>
      <c r="J23" s="22" t="s">
        <v>42</v>
      </c>
      <c r="K23" s="23">
        <v>-55</v>
      </c>
      <c r="M23" s="22" t="s">
        <v>42</v>
      </c>
      <c r="N23" s="23">
        <v>3991388</v>
      </c>
      <c r="P23" s="22" t="s">
        <v>42</v>
      </c>
      <c r="Q23">
        <v>2965.3</v>
      </c>
      <c r="R23">
        <v>3570</v>
      </c>
    </row>
    <row r="24" spans="4:18" x14ac:dyDescent="0.25">
      <c r="D24" s="22" t="s">
        <v>42</v>
      </c>
      <c r="E24" s="23">
        <v>-55</v>
      </c>
      <c r="G24" s="22" t="s">
        <v>36</v>
      </c>
      <c r="H24" s="28">
        <v>4.3799186198981585E-2</v>
      </c>
      <c r="J24" s="22" t="s">
        <v>36</v>
      </c>
      <c r="K24" s="23">
        <v>-40</v>
      </c>
      <c r="M24" s="22" t="s">
        <v>36</v>
      </c>
      <c r="N24" s="23">
        <v>3155168</v>
      </c>
      <c r="P24" s="22" t="s">
        <v>36</v>
      </c>
      <c r="Q24">
        <v>2425</v>
      </c>
      <c r="R24">
        <v>3044</v>
      </c>
    </row>
    <row r="25" spans="4:18" x14ac:dyDescent="0.25">
      <c r="D25" s="22" t="s">
        <v>37</v>
      </c>
      <c r="E25" s="23">
        <v>200</v>
      </c>
      <c r="G25" s="22" t="s">
        <v>35</v>
      </c>
      <c r="H25" s="28">
        <v>0.13799215892014893</v>
      </c>
      <c r="J25" s="22" t="s">
        <v>35</v>
      </c>
      <c r="K25" s="23">
        <v>-250</v>
      </c>
      <c r="M25" s="22" t="s">
        <v>35</v>
      </c>
      <c r="N25" s="23">
        <v>775339</v>
      </c>
      <c r="P25" s="22" t="s">
        <v>35</v>
      </c>
      <c r="Q25">
        <v>11059.45</v>
      </c>
      <c r="R25">
        <v>12411</v>
      </c>
    </row>
    <row r="26" spans="4:18" x14ac:dyDescent="0.25">
      <c r="D26" s="22" t="s">
        <v>9</v>
      </c>
      <c r="E26" s="23">
        <v>-40</v>
      </c>
      <c r="G26" s="22" t="s">
        <v>47</v>
      </c>
      <c r="H26" s="28">
        <v>2.644903670240736E-2</v>
      </c>
      <c r="J26" s="22" t="s">
        <v>47</v>
      </c>
      <c r="K26" s="23">
        <v>-150</v>
      </c>
      <c r="M26" s="22" t="s">
        <v>47</v>
      </c>
      <c r="N26" s="23">
        <v>23266517</v>
      </c>
      <c r="P26" s="22" t="s">
        <v>47</v>
      </c>
      <c r="Q26">
        <v>1114.8499999999999</v>
      </c>
      <c r="R26">
        <v>1348</v>
      </c>
    </row>
    <row r="27" spans="4:18" x14ac:dyDescent="0.25">
      <c r="D27" s="22" t="s">
        <v>18</v>
      </c>
      <c r="E27" s="23">
        <v>-90</v>
      </c>
      <c r="G27" s="22" t="s">
        <v>1</v>
      </c>
      <c r="H27" s="28">
        <v>3.3497927354332824E-2</v>
      </c>
      <c r="J27" s="22" t="s">
        <v>1</v>
      </c>
      <c r="K27" s="23">
        <v>-60</v>
      </c>
      <c r="M27" s="22" t="s">
        <v>1</v>
      </c>
      <c r="N27" s="23">
        <v>1156884</v>
      </c>
      <c r="P27" s="22" t="s">
        <v>1</v>
      </c>
      <c r="Q27">
        <v>1430.55</v>
      </c>
      <c r="R27">
        <v>1829.2</v>
      </c>
    </row>
    <row r="28" spans="4:18" x14ac:dyDescent="0.25">
      <c r="D28" s="22" t="s">
        <v>26</v>
      </c>
      <c r="E28" s="23">
        <v>30</v>
      </c>
      <c r="G28" s="22" t="s">
        <v>45</v>
      </c>
      <c r="H28" s="28">
        <v>1.9997669293096123E-2</v>
      </c>
      <c r="J28" s="22" t="s">
        <v>45</v>
      </c>
      <c r="K28" s="23">
        <v>-175</v>
      </c>
      <c r="M28" s="22" t="s">
        <v>45</v>
      </c>
      <c r="N28" s="23">
        <v>20445349</v>
      </c>
      <c r="P28" s="22" t="s">
        <v>45</v>
      </c>
      <c r="Q28">
        <v>730</v>
      </c>
      <c r="R28">
        <v>1019.2</v>
      </c>
    </row>
    <row r="29" spans="4:18" x14ac:dyDescent="0.25">
      <c r="D29" s="22" t="s">
        <v>43</v>
      </c>
      <c r="E29" s="23">
        <v>150</v>
      </c>
      <c r="G29" s="22" t="s">
        <v>38</v>
      </c>
      <c r="H29" s="28">
        <v>7.6776766035994036E-3</v>
      </c>
      <c r="J29" s="22" t="s">
        <v>38</v>
      </c>
      <c r="K29" s="23">
        <v>-350</v>
      </c>
      <c r="M29" s="22" t="s">
        <v>38</v>
      </c>
      <c r="N29" s="23">
        <v>12238678</v>
      </c>
      <c r="P29" s="22" t="s">
        <v>38</v>
      </c>
      <c r="Q29">
        <v>566.5</v>
      </c>
      <c r="R29">
        <v>903</v>
      </c>
    </row>
    <row r="30" spans="4:18" x14ac:dyDescent="0.25">
      <c r="D30" s="22" t="s">
        <v>27</v>
      </c>
      <c r="E30" s="23">
        <v>-100</v>
      </c>
      <c r="G30" s="22" t="s">
        <v>0</v>
      </c>
      <c r="H30" s="28">
        <v>1.7065318747714237E-2</v>
      </c>
      <c r="J30" s="22" t="s">
        <v>0</v>
      </c>
      <c r="K30" s="23">
        <v>-121</v>
      </c>
      <c r="M30" s="22" t="s">
        <v>0</v>
      </c>
      <c r="N30" s="23">
        <v>1815831</v>
      </c>
      <c r="P30" s="22" t="s">
        <v>0</v>
      </c>
      <c r="Q30">
        <v>952.5</v>
      </c>
      <c r="R30">
        <v>1043.7</v>
      </c>
    </row>
    <row r="31" spans="4:18" x14ac:dyDescent="0.25">
      <c r="D31" s="22" t="s">
        <v>46</v>
      </c>
      <c r="E31" s="23">
        <v>-140</v>
      </c>
      <c r="G31" s="22" t="s">
        <v>12</v>
      </c>
      <c r="H31" s="28">
        <v>1.813891157034039E-2</v>
      </c>
      <c r="J31" s="22" t="s">
        <v>12</v>
      </c>
      <c r="K31" s="23">
        <v>-20</v>
      </c>
      <c r="M31" s="22" t="s">
        <v>12</v>
      </c>
      <c r="N31" s="23">
        <v>2584016</v>
      </c>
      <c r="P31" s="22" t="s">
        <v>12</v>
      </c>
      <c r="Q31">
        <v>1264.3499999999999</v>
      </c>
      <c r="R31">
        <v>1386.7</v>
      </c>
    </row>
    <row r="32" spans="4:18" x14ac:dyDescent="0.25">
      <c r="D32" s="22" t="s">
        <v>24</v>
      </c>
      <c r="E32" s="23">
        <v>-80</v>
      </c>
      <c r="G32" s="22" t="s">
        <v>23</v>
      </c>
      <c r="H32" s="28">
        <v>5.1405573361419724E-3</v>
      </c>
      <c r="J32" s="22" t="s">
        <v>23</v>
      </c>
      <c r="K32" s="23">
        <v>-200</v>
      </c>
      <c r="M32" s="22" t="s">
        <v>23</v>
      </c>
      <c r="N32" s="23">
        <v>19009638</v>
      </c>
      <c r="P32" s="22" t="s">
        <v>23</v>
      </c>
      <c r="Q32">
        <v>301.05</v>
      </c>
      <c r="R32">
        <v>302.3</v>
      </c>
    </row>
    <row r="33" spans="4:18" x14ac:dyDescent="0.25">
      <c r="D33" s="22" t="s">
        <v>10</v>
      </c>
      <c r="E33" s="23">
        <v>80</v>
      </c>
      <c r="G33" s="22" t="s">
        <v>17</v>
      </c>
      <c r="H33" s="28">
        <v>6.6809324904819764E-2</v>
      </c>
      <c r="J33" s="22" t="s">
        <v>17</v>
      </c>
      <c r="K33" s="23">
        <v>-190</v>
      </c>
      <c r="M33" s="22" t="s">
        <v>17</v>
      </c>
      <c r="N33" s="23">
        <v>1288297</v>
      </c>
      <c r="P33" s="22" t="s">
        <v>17</v>
      </c>
      <c r="Q33">
        <v>3340.3</v>
      </c>
      <c r="R33">
        <v>3405</v>
      </c>
    </row>
    <row r="34" spans="4:18" x14ac:dyDescent="0.25">
      <c r="D34" s="22" t="s">
        <v>5</v>
      </c>
      <c r="E34" s="23">
        <v>20</v>
      </c>
      <c r="G34" s="22" t="s">
        <v>78</v>
      </c>
      <c r="H34" s="28">
        <v>1</v>
      </c>
      <c r="J34" s="22" t="s">
        <v>78</v>
      </c>
      <c r="K34" s="23">
        <v>-3792</v>
      </c>
      <c r="M34" s="22" t="s">
        <v>78</v>
      </c>
      <c r="N34" s="23">
        <v>65485199</v>
      </c>
      <c r="P34" s="22" t="s">
        <v>78</v>
      </c>
      <c r="Q34">
        <v>59505.900000000009</v>
      </c>
      <c r="R34">
        <v>68306.409999999989</v>
      </c>
    </row>
    <row r="35" spans="4:18" x14ac:dyDescent="0.25">
      <c r="D35" s="22" t="s">
        <v>49</v>
      </c>
      <c r="E35" s="23">
        <v>-400</v>
      </c>
    </row>
    <row r="36" spans="4:18" x14ac:dyDescent="0.25">
      <c r="D36" s="22" t="s">
        <v>41</v>
      </c>
      <c r="E36" s="23">
        <v>100</v>
      </c>
    </row>
    <row r="37" spans="4:18" x14ac:dyDescent="0.25">
      <c r="D37" s="22" t="s">
        <v>25</v>
      </c>
      <c r="E37" s="23">
        <v>-150</v>
      </c>
    </row>
    <row r="38" spans="4:18" x14ac:dyDescent="0.25">
      <c r="D38" s="22" t="s">
        <v>33</v>
      </c>
      <c r="E38" s="23">
        <v>-150</v>
      </c>
    </row>
    <row r="39" spans="4:18" x14ac:dyDescent="0.25">
      <c r="D39" s="22" t="s">
        <v>13</v>
      </c>
      <c r="E39" s="23">
        <v>-100</v>
      </c>
    </row>
    <row r="40" spans="4:18" x14ac:dyDescent="0.25">
      <c r="D40" s="22" t="s">
        <v>7</v>
      </c>
      <c r="E40" s="23">
        <v>-85</v>
      </c>
    </row>
    <row r="41" spans="4:18" x14ac:dyDescent="0.25">
      <c r="D41" s="22" t="s">
        <v>30</v>
      </c>
      <c r="E41" s="23">
        <v>-100</v>
      </c>
    </row>
    <row r="42" spans="4:18" x14ac:dyDescent="0.25">
      <c r="D42" s="22" t="s">
        <v>6</v>
      </c>
      <c r="E42" s="23">
        <v>-70</v>
      </c>
    </row>
    <row r="43" spans="4:18" x14ac:dyDescent="0.25">
      <c r="D43" s="22" t="s">
        <v>48</v>
      </c>
      <c r="E43" s="23">
        <v>300</v>
      </c>
    </row>
    <row r="44" spans="4:18" x14ac:dyDescent="0.25">
      <c r="D44" s="22" t="s">
        <v>32</v>
      </c>
      <c r="E44" s="23">
        <v>-160</v>
      </c>
    </row>
    <row r="45" spans="4:18" x14ac:dyDescent="0.25">
      <c r="D45" s="22" t="s">
        <v>34</v>
      </c>
      <c r="E45" s="23">
        <v>-100</v>
      </c>
    </row>
    <row r="46" spans="4:18" x14ac:dyDescent="0.25">
      <c r="D46" s="22" t="s">
        <v>16</v>
      </c>
      <c r="E46" s="23">
        <v>-94</v>
      </c>
    </row>
    <row r="47" spans="4:18" x14ac:dyDescent="0.25">
      <c r="D47" s="22" t="s">
        <v>8</v>
      </c>
      <c r="E47" s="23">
        <v>5</v>
      </c>
    </row>
    <row r="48" spans="4:18" x14ac:dyDescent="0.25">
      <c r="D48" s="22" t="s">
        <v>39</v>
      </c>
      <c r="E48" s="23">
        <v>25</v>
      </c>
    </row>
    <row r="49" spans="4:5" x14ac:dyDescent="0.25">
      <c r="D49" s="22" t="s">
        <v>3</v>
      </c>
      <c r="E49" s="23">
        <v>-80</v>
      </c>
    </row>
    <row r="50" spans="4:5" x14ac:dyDescent="0.25">
      <c r="D50" s="22" t="s">
        <v>14</v>
      </c>
      <c r="E50" s="23">
        <v>-62</v>
      </c>
    </row>
    <row r="51" spans="4:5" x14ac:dyDescent="0.25">
      <c r="D51" s="22" t="s">
        <v>11</v>
      </c>
      <c r="E51" s="23">
        <v>-80</v>
      </c>
    </row>
    <row r="52" spans="4:5" x14ac:dyDescent="0.25">
      <c r="D52" s="22" t="s">
        <v>20</v>
      </c>
      <c r="E52" s="23">
        <v>-100</v>
      </c>
    </row>
    <row r="53" spans="4:5" x14ac:dyDescent="0.25">
      <c r="D53" s="22" t="s">
        <v>78</v>
      </c>
      <c r="E53" s="23">
        <v>1423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9B00-1927-43E8-AE9B-C89F4F5B6BD9}">
  <dimension ref="A1"/>
  <sheetViews>
    <sheetView topLeftCell="AB1" workbookViewId="0">
      <selection activeCell="X24" sqref="X24"/>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8267-BCF4-4237-94DE-B7B07D1FEB26}">
  <dimension ref="A1"/>
  <sheetViews>
    <sheetView showGridLines="0" showRowColHeaders="0" tabSelected="1" workbookViewId="0">
      <selection activeCell="G43" sqref="G43"/>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EDE3-7238-4574-A4B7-E05338C24E9D}">
  <dimension ref="A1:I55"/>
  <sheetViews>
    <sheetView topLeftCell="G1" workbookViewId="0">
      <selection activeCell="F3" sqref="F3"/>
    </sheetView>
  </sheetViews>
  <sheetFormatPr defaultRowHeight="15" x14ac:dyDescent="0.25"/>
  <cols>
    <col min="1" max="1" width="13.7109375" bestFit="1" customWidth="1"/>
    <col min="2" max="3" width="24.7109375" bestFit="1" customWidth="1"/>
    <col min="4" max="4" width="25.28515625" bestFit="1" customWidth="1"/>
    <col min="6" max="6" width="13.7109375" bestFit="1" customWidth="1"/>
    <col min="7" max="7" width="27.140625" bestFit="1" customWidth="1"/>
    <col min="8" max="8" width="12.140625" bestFit="1" customWidth="1"/>
    <col min="9" max="9" width="17" bestFit="1" customWidth="1"/>
  </cols>
  <sheetData>
    <row r="1" spans="1:9" x14ac:dyDescent="0.25">
      <c r="A1" s="21" t="s">
        <v>82</v>
      </c>
      <c r="B1" t="s">
        <v>79</v>
      </c>
      <c r="F1" s="21" t="s">
        <v>73</v>
      </c>
      <c r="G1" t="s">
        <v>79</v>
      </c>
    </row>
    <row r="2" spans="1:9" x14ac:dyDescent="0.25">
      <c r="A2" s="21" t="s">
        <v>73</v>
      </c>
      <c r="B2" t="s">
        <v>79</v>
      </c>
    </row>
    <row r="3" spans="1:9" x14ac:dyDescent="0.25">
      <c r="F3" s="21" t="s">
        <v>77</v>
      </c>
      <c r="G3" t="s">
        <v>83</v>
      </c>
      <c r="H3" t="s">
        <v>84</v>
      </c>
      <c r="I3" t="s">
        <v>85</v>
      </c>
    </row>
    <row r="4" spans="1:9" x14ac:dyDescent="0.25">
      <c r="A4" s="21" t="s">
        <v>77</v>
      </c>
      <c r="B4" t="s">
        <v>80</v>
      </c>
      <c r="C4" t="s">
        <v>81</v>
      </c>
      <c r="F4" s="22" t="s">
        <v>20</v>
      </c>
      <c r="G4" s="27">
        <v>2188.8000000000002</v>
      </c>
      <c r="H4">
        <v>1824</v>
      </c>
      <c r="I4" s="28">
        <v>1.5213495638422583E-2</v>
      </c>
    </row>
    <row r="5" spans="1:9" x14ac:dyDescent="0.25">
      <c r="A5" s="22" t="s">
        <v>20</v>
      </c>
      <c r="B5">
        <v>3750</v>
      </c>
      <c r="C5">
        <v>3650</v>
      </c>
      <c r="F5" s="22" t="s">
        <v>11</v>
      </c>
      <c r="G5" s="27">
        <v>1554.2840000000001</v>
      </c>
      <c r="H5">
        <v>1339.9</v>
      </c>
      <c r="I5" s="28">
        <v>8.9405977218957981E-3</v>
      </c>
    </row>
    <row r="6" spans="1:9" x14ac:dyDescent="0.25">
      <c r="A6" s="22" t="s">
        <v>11</v>
      </c>
      <c r="B6">
        <v>2750</v>
      </c>
      <c r="C6">
        <v>2670</v>
      </c>
      <c r="F6" s="22" t="s">
        <v>14</v>
      </c>
      <c r="G6" s="27">
        <v>9358.2800000000007</v>
      </c>
      <c r="H6">
        <v>7547</v>
      </c>
      <c r="I6" s="28">
        <v>7.5537007620510022E-2</v>
      </c>
    </row>
    <row r="7" spans="1:9" x14ac:dyDescent="0.25">
      <c r="A7" s="22" t="s">
        <v>14</v>
      </c>
      <c r="B7">
        <v>7612</v>
      </c>
      <c r="C7">
        <v>7550</v>
      </c>
      <c r="F7" s="22" t="s">
        <v>3</v>
      </c>
      <c r="G7" s="27">
        <v>2540.58</v>
      </c>
      <c r="H7">
        <v>2209.1999999999998</v>
      </c>
      <c r="I7" s="28">
        <v>1.3819759278126301E-2</v>
      </c>
    </row>
    <row r="8" spans="1:9" x14ac:dyDescent="0.25">
      <c r="A8" s="22" t="s">
        <v>3</v>
      </c>
      <c r="B8">
        <v>4500</v>
      </c>
      <c r="C8">
        <v>4420</v>
      </c>
      <c r="F8" s="22" t="s">
        <v>39</v>
      </c>
      <c r="G8" s="27">
        <v>1396.4079999999999</v>
      </c>
      <c r="H8">
        <v>1203.8</v>
      </c>
      <c r="I8" s="28">
        <v>8.0324587936548703E-3</v>
      </c>
    </row>
    <row r="9" spans="1:9" x14ac:dyDescent="0.25">
      <c r="A9" s="22" t="s">
        <v>39</v>
      </c>
      <c r="B9">
        <v>6025</v>
      </c>
      <c r="C9">
        <v>6050</v>
      </c>
      <c r="F9" s="22" t="s">
        <v>8</v>
      </c>
      <c r="G9" s="27">
        <v>10588.025</v>
      </c>
      <c r="H9">
        <v>8897.5</v>
      </c>
      <c r="I9" s="28">
        <v>7.0501082001492146E-2</v>
      </c>
    </row>
    <row r="10" spans="1:9" x14ac:dyDescent="0.25">
      <c r="A10" s="22" t="s">
        <v>8</v>
      </c>
      <c r="B10">
        <v>8995</v>
      </c>
      <c r="C10">
        <v>9000</v>
      </c>
      <c r="F10" s="22" t="s">
        <v>16</v>
      </c>
      <c r="G10" s="27">
        <v>2237.0039999999999</v>
      </c>
      <c r="H10">
        <v>1694.7</v>
      </c>
      <c r="I10" s="28">
        <v>2.2616062331960306E-2</v>
      </c>
    </row>
    <row r="11" spans="1:9" x14ac:dyDescent="0.25">
      <c r="A11" s="22" t="s">
        <v>16</v>
      </c>
      <c r="B11">
        <v>3460</v>
      </c>
      <c r="C11">
        <v>3366</v>
      </c>
      <c r="F11" s="22" t="s">
        <v>34</v>
      </c>
      <c r="G11" s="27">
        <v>1075.0550000000001</v>
      </c>
      <c r="H11">
        <v>846.5</v>
      </c>
      <c r="I11" s="28">
        <v>9.531580306029807E-3</v>
      </c>
    </row>
    <row r="12" spans="1:9" x14ac:dyDescent="0.25">
      <c r="A12" s="22" t="s">
        <v>34</v>
      </c>
      <c r="B12">
        <v>8700</v>
      </c>
      <c r="C12">
        <v>8600</v>
      </c>
      <c r="F12" s="22" t="s">
        <v>32</v>
      </c>
      <c r="G12" s="27">
        <v>462.78300000000002</v>
      </c>
      <c r="H12">
        <v>405.95</v>
      </c>
      <c r="I12" s="28">
        <v>2.3701441820681763E-3</v>
      </c>
    </row>
    <row r="13" spans="1:9" x14ac:dyDescent="0.25">
      <c r="A13" s="22" t="s">
        <v>32</v>
      </c>
      <c r="B13">
        <v>8240</v>
      </c>
      <c r="C13">
        <v>8080</v>
      </c>
      <c r="F13" s="22" t="s">
        <v>48</v>
      </c>
      <c r="G13" s="27">
        <v>2312.5</v>
      </c>
      <c r="H13">
        <v>1850</v>
      </c>
      <c r="I13" s="28">
        <v>1.9287943346410208E-2</v>
      </c>
    </row>
    <row r="14" spans="1:9" x14ac:dyDescent="0.25">
      <c r="A14" s="22" t="s">
        <v>48</v>
      </c>
      <c r="B14">
        <v>27300</v>
      </c>
      <c r="C14">
        <v>27600</v>
      </c>
      <c r="F14" s="22" t="s">
        <v>6</v>
      </c>
      <c r="G14" s="27">
        <v>1639.44</v>
      </c>
      <c r="H14">
        <v>1242</v>
      </c>
      <c r="I14" s="28">
        <v>1.6574703142913025E-2</v>
      </c>
    </row>
    <row r="15" spans="1:9" x14ac:dyDescent="0.25">
      <c r="A15" s="22" t="s">
        <v>6</v>
      </c>
      <c r="B15">
        <v>6220</v>
      </c>
      <c r="C15">
        <v>6150</v>
      </c>
      <c r="F15" s="22" t="s">
        <v>30</v>
      </c>
      <c r="G15" s="27">
        <v>534.12</v>
      </c>
      <c r="H15">
        <v>445.1</v>
      </c>
      <c r="I15" s="28">
        <v>3.7124599279944586E-3</v>
      </c>
    </row>
    <row r="16" spans="1:9" x14ac:dyDescent="0.25">
      <c r="A16" s="22" t="s">
        <v>30</v>
      </c>
      <c r="B16">
        <v>22200</v>
      </c>
      <c r="C16">
        <v>22100</v>
      </c>
      <c r="F16" s="22" t="s">
        <v>7</v>
      </c>
      <c r="G16" s="27">
        <v>1665.4299999999998</v>
      </c>
      <c r="H16">
        <v>1281.0999999999999</v>
      </c>
      <c r="I16" s="28">
        <v>1.6027968143407213E-2</v>
      </c>
    </row>
    <row r="17" spans="1:9" x14ac:dyDescent="0.25">
      <c r="A17" s="22" t="s">
        <v>7</v>
      </c>
      <c r="B17">
        <v>6505</v>
      </c>
      <c r="C17">
        <v>6420</v>
      </c>
      <c r="F17" s="22" t="s">
        <v>13</v>
      </c>
      <c r="G17" s="27">
        <v>8158.8</v>
      </c>
      <c r="H17">
        <v>6799</v>
      </c>
      <c r="I17" s="28">
        <v>5.6708638621510501E-2</v>
      </c>
    </row>
    <row r="18" spans="1:9" x14ac:dyDescent="0.25">
      <c r="A18" s="22" t="s">
        <v>13</v>
      </c>
      <c r="B18">
        <v>6900</v>
      </c>
      <c r="C18">
        <v>6800</v>
      </c>
      <c r="F18" s="22" t="s">
        <v>33</v>
      </c>
      <c r="G18" s="27">
        <v>297.86880000000002</v>
      </c>
      <c r="H18">
        <v>232.71</v>
      </c>
      <c r="I18" s="28">
        <v>2.7173605252325921E-3</v>
      </c>
    </row>
    <row r="19" spans="1:9" x14ac:dyDescent="0.25">
      <c r="A19" s="22" t="s">
        <v>33</v>
      </c>
      <c r="B19">
        <v>11800</v>
      </c>
      <c r="C19">
        <v>11650</v>
      </c>
      <c r="F19" s="22" t="s">
        <v>25</v>
      </c>
      <c r="G19" s="27">
        <v>3170.52</v>
      </c>
      <c r="H19">
        <v>2642.1</v>
      </c>
      <c r="I19" s="28">
        <v>2.2037048698616394E-2</v>
      </c>
    </row>
    <row r="20" spans="1:9" x14ac:dyDescent="0.25">
      <c r="A20" s="22" t="s">
        <v>25</v>
      </c>
      <c r="B20">
        <v>13250</v>
      </c>
      <c r="C20">
        <v>13100</v>
      </c>
      <c r="F20" s="22" t="s">
        <v>41</v>
      </c>
      <c r="G20" s="27">
        <v>1604.9179999999999</v>
      </c>
      <c r="H20">
        <v>1360.1</v>
      </c>
      <c r="I20" s="28">
        <v>1.0209806949581523E-2</v>
      </c>
    </row>
    <row r="21" spans="1:9" x14ac:dyDescent="0.25">
      <c r="A21" s="22" t="s">
        <v>41</v>
      </c>
      <c r="B21">
        <v>6900</v>
      </c>
      <c r="C21">
        <v>7000</v>
      </c>
      <c r="F21" s="22" t="s">
        <v>49</v>
      </c>
      <c r="G21" s="27">
        <v>909.54000000000008</v>
      </c>
      <c r="H21">
        <v>757.95</v>
      </c>
      <c r="I21" s="28">
        <v>6.3218580148806996E-3</v>
      </c>
    </row>
    <row r="22" spans="1:9" x14ac:dyDescent="0.25">
      <c r="A22" s="22" t="s">
        <v>49</v>
      </c>
      <c r="B22">
        <v>15400</v>
      </c>
      <c r="C22">
        <v>15000</v>
      </c>
      <c r="F22" s="22" t="s">
        <v>5</v>
      </c>
      <c r="G22" s="27">
        <v>733.07999999999993</v>
      </c>
      <c r="H22">
        <v>610.9</v>
      </c>
      <c r="I22" s="28">
        <v>5.0953533363554586E-3</v>
      </c>
    </row>
    <row r="23" spans="1:9" x14ac:dyDescent="0.25">
      <c r="A23" s="22" t="s">
        <v>5</v>
      </c>
      <c r="B23">
        <v>6100</v>
      </c>
      <c r="C23">
        <v>6120</v>
      </c>
      <c r="F23" s="22" t="s">
        <v>10</v>
      </c>
      <c r="G23" s="27">
        <v>1089.9000000000001</v>
      </c>
      <c r="H23">
        <v>865</v>
      </c>
      <c r="I23" s="28">
        <v>9.379153424016554E-3</v>
      </c>
    </row>
    <row r="24" spans="1:9" x14ac:dyDescent="0.25">
      <c r="A24" s="22" t="s">
        <v>10</v>
      </c>
      <c r="B24">
        <v>8600</v>
      </c>
      <c r="C24">
        <v>8680</v>
      </c>
      <c r="F24" s="22" t="s">
        <v>24</v>
      </c>
      <c r="G24" s="27">
        <v>2593.75</v>
      </c>
      <c r="H24">
        <v>2075</v>
      </c>
      <c r="I24" s="28">
        <v>2.1633774293946587E-2</v>
      </c>
    </row>
    <row r="25" spans="1:9" x14ac:dyDescent="0.25">
      <c r="A25" s="22" t="s">
        <v>24</v>
      </c>
      <c r="B25">
        <v>4240</v>
      </c>
      <c r="C25">
        <v>4160</v>
      </c>
      <c r="F25" s="22" t="s">
        <v>46</v>
      </c>
      <c r="G25" s="27">
        <v>1423.585</v>
      </c>
      <c r="H25">
        <v>1237.9000000000001</v>
      </c>
      <c r="I25" s="28">
        <v>7.7437443465474152E-3</v>
      </c>
    </row>
    <row r="26" spans="1:9" x14ac:dyDescent="0.25">
      <c r="A26" s="22" t="s">
        <v>46</v>
      </c>
      <c r="B26">
        <v>17640</v>
      </c>
      <c r="C26">
        <v>17500</v>
      </c>
      <c r="F26" s="22" t="s">
        <v>27</v>
      </c>
      <c r="G26" s="27">
        <v>4717.4150000000009</v>
      </c>
      <c r="H26">
        <v>4102.1000000000004</v>
      </c>
      <c r="I26" s="28">
        <v>2.5660888346370592E-2</v>
      </c>
    </row>
    <row r="27" spans="1:9" x14ac:dyDescent="0.25">
      <c r="A27" s="22" t="s">
        <v>27</v>
      </c>
      <c r="B27">
        <v>4200</v>
      </c>
      <c r="C27">
        <v>4100</v>
      </c>
      <c r="F27" s="22" t="s">
        <v>43</v>
      </c>
      <c r="G27" s="27">
        <v>1647.75</v>
      </c>
      <c r="H27">
        <v>1267.5</v>
      </c>
      <c r="I27" s="28">
        <v>1.5857817205345907E-2</v>
      </c>
    </row>
    <row r="28" spans="1:9" x14ac:dyDescent="0.25">
      <c r="A28" s="22" t="s">
        <v>43</v>
      </c>
      <c r="B28">
        <v>12700</v>
      </c>
      <c r="C28">
        <v>12850</v>
      </c>
      <c r="F28" s="22" t="s">
        <v>26</v>
      </c>
      <c r="G28" s="27">
        <v>353.46000000000004</v>
      </c>
      <c r="H28">
        <v>294.55</v>
      </c>
      <c r="I28" s="28">
        <v>2.4567626865665418E-3</v>
      </c>
    </row>
    <row r="29" spans="1:9" x14ac:dyDescent="0.25">
      <c r="A29" s="22" t="s">
        <v>26</v>
      </c>
      <c r="B29">
        <v>4380</v>
      </c>
      <c r="C29">
        <v>4410</v>
      </c>
      <c r="F29" s="22" t="s">
        <v>18</v>
      </c>
      <c r="G29" s="27">
        <v>287.68</v>
      </c>
      <c r="H29">
        <v>232</v>
      </c>
      <c r="I29" s="28">
        <v>2.3220598606013415E-3</v>
      </c>
    </row>
    <row r="30" spans="1:9" x14ac:dyDescent="0.25">
      <c r="A30" s="22" t="s">
        <v>18</v>
      </c>
      <c r="B30">
        <v>10575</v>
      </c>
      <c r="C30">
        <v>10485</v>
      </c>
      <c r="F30" s="22" t="s">
        <v>9</v>
      </c>
      <c r="G30" s="27">
        <v>1333.5179999999998</v>
      </c>
      <c r="H30">
        <v>1130.0999999999999</v>
      </c>
      <c r="I30" s="28">
        <v>8.4832753721947492E-3</v>
      </c>
    </row>
    <row r="31" spans="1:9" x14ac:dyDescent="0.25">
      <c r="A31" s="22" t="s">
        <v>9</v>
      </c>
      <c r="B31">
        <v>2300</v>
      </c>
      <c r="C31">
        <v>2260</v>
      </c>
      <c r="F31" s="22" t="s">
        <v>37</v>
      </c>
      <c r="G31" s="27">
        <v>411.20799999999997</v>
      </c>
      <c r="H31">
        <v>367.15</v>
      </c>
      <c r="I31" s="28">
        <v>1.8373799090943587E-3</v>
      </c>
    </row>
    <row r="32" spans="1:9" x14ac:dyDescent="0.25">
      <c r="A32" s="22" t="s">
        <v>37</v>
      </c>
      <c r="B32">
        <v>36500</v>
      </c>
      <c r="C32">
        <v>36700</v>
      </c>
      <c r="F32" s="22" t="s">
        <v>42</v>
      </c>
      <c r="G32" s="27">
        <v>4998</v>
      </c>
      <c r="H32">
        <v>3570</v>
      </c>
      <c r="I32" s="28">
        <v>5.9552828321456822E-2</v>
      </c>
    </row>
    <row r="33" spans="1:9" x14ac:dyDescent="0.25">
      <c r="A33" s="22" t="s">
        <v>42</v>
      </c>
      <c r="B33">
        <v>3630</v>
      </c>
      <c r="C33">
        <v>3575</v>
      </c>
      <c r="F33" s="22" t="s">
        <v>36</v>
      </c>
      <c r="G33" s="27">
        <v>3713.68</v>
      </c>
      <c r="H33">
        <v>3044</v>
      </c>
      <c r="I33" s="28">
        <v>2.7928107892376191E-2</v>
      </c>
    </row>
    <row r="34" spans="1:9" x14ac:dyDescent="0.25">
      <c r="A34" s="22" t="s">
        <v>36</v>
      </c>
      <c r="B34">
        <v>3090</v>
      </c>
      <c r="C34">
        <v>3050</v>
      </c>
      <c r="F34" s="22" t="s">
        <v>35</v>
      </c>
      <c r="G34" s="27">
        <v>14520.87</v>
      </c>
      <c r="H34">
        <v>12411</v>
      </c>
      <c r="I34" s="28">
        <v>8.798930384495246E-2</v>
      </c>
    </row>
    <row r="35" spans="1:9" x14ac:dyDescent="0.25">
      <c r="A35" s="22" t="s">
        <v>35</v>
      </c>
      <c r="B35">
        <v>12600</v>
      </c>
      <c r="C35">
        <v>12350</v>
      </c>
      <c r="F35" s="22" t="s">
        <v>4</v>
      </c>
      <c r="G35" s="27">
        <v>1152.8599999999999</v>
      </c>
      <c r="H35">
        <v>977</v>
      </c>
      <c r="I35" s="28">
        <v>7.3340058743777276E-3</v>
      </c>
    </row>
    <row r="36" spans="1:9" x14ac:dyDescent="0.25">
      <c r="A36" s="22" t="s">
        <v>4</v>
      </c>
      <c r="B36">
        <v>4875</v>
      </c>
      <c r="C36">
        <v>4900</v>
      </c>
      <c r="F36" s="22" t="s">
        <v>2</v>
      </c>
      <c r="G36" s="27">
        <v>1492.625</v>
      </c>
      <c r="H36">
        <v>1194.0999999999999</v>
      </c>
      <c r="I36" s="28">
        <v>1.244958548645861E-2</v>
      </c>
    </row>
    <row r="37" spans="1:9" x14ac:dyDescent="0.25">
      <c r="A37" s="22" t="s">
        <v>2</v>
      </c>
      <c r="B37">
        <v>3600</v>
      </c>
      <c r="C37">
        <v>3618</v>
      </c>
      <c r="F37" s="22" t="s">
        <v>29</v>
      </c>
      <c r="G37" s="27">
        <v>451.8</v>
      </c>
      <c r="H37">
        <v>376.5</v>
      </c>
      <c r="I37" s="28">
        <v>3.1402856951020298E-3</v>
      </c>
    </row>
    <row r="38" spans="1:9" x14ac:dyDescent="0.25">
      <c r="A38" s="22" t="s">
        <v>29</v>
      </c>
      <c r="B38">
        <v>11250</v>
      </c>
      <c r="C38">
        <v>11340</v>
      </c>
      <c r="F38" s="22" t="s">
        <v>44</v>
      </c>
      <c r="G38" s="27">
        <v>337.32000000000005</v>
      </c>
      <c r="H38">
        <v>281.10000000000002</v>
      </c>
      <c r="I38" s="28">
        <v>2.344579837697691E-3</v>
      </c>
    </row>
    <row r="39" spans="1:9" x14ac:dyDescent="0.25">
      <c r="A39" s="22" t="s">
        <v>44</v>
      </c>
      <c r="B39">
        <v>67500</v>
      </c>
      <c r="C39">
        <v>70000</v>
      </c>
      <c r="F39" s="22" t="s">
        <v>31</v>
      </c>
      <c r="G39" s="27">
        <v>340.05500000000001</v>
      </c>
      <c r="H39">
        <v>295.7</v>
      </c>
      <c r="I39" s="28">
        <v>1.8497658964973509E-3</v>
      </c>
    </row>
    <row r="40" spans="1:9" x14ac:dyDescent="0.25">
      <c r="A40" s="22" t="s">
        <v>31</v>
      </c>
      <c r="B40">
        <v>43800</v>
      </c>
      <c r="C40">
        <v>44250</v>
      </c>
      <c r="F40" s="22" t="s">
        <v>47</v>
      </c>
      <c r="G40" s="27">
        <v>1752.4</v>
      </c>
      <c r="H40">
        <v>1348</v>
      </c>
      <c r="I40" s="28">
        <v>1.6864960625488191E-2</v>
      </c>
    </row>
    <row r="41" spans="1:9" x14ac:dyDescent="0.25">
      <c r="A41" s="22" t="s">
        <v>47</v>
      </c>
      <c r="B41">
        <v>20700</v>
      </c>
      <c r="C41">
        <v>20550</v>
      </c>
      <c r="F41" s="22" t="s">
        <v>1</v>
      </c>
      <c r="G41" s="27">
        <v>2341.3760000000002</v>
      </c>
      <c r="H41">
        <v>1829.2</v>
      </c>
      <c r="I41" s="28">
        <v>2.1359614424629182E-2</v>
      </c>
    </row>
    <row r="42" spans="1:9" x14ac:dyDescent="0.25">
      <c r="A42" s="22" t="s">
        <v>1</v>
      </c>
      <c r="B42">
        <v>7404</v>
      </c>
      <c r="C42">
        <v>7344</v>
      </c>
      <c r="F42" s="22" t="s">
        <v>45</v>
      </c>
      <c r="G42" s="27">
        <v>1324.96</v>
      </c>
      <c r="H42">
        <v>1019.2</v>
      </c>
      <c r="I42" s="28">
        <v>1.2751311475888401E-2</v>
      </c>
    </row>
    <row r="43" spans="1:9" x14ac:dyDescent="0.25">
      <c r="A43" s="22" t="s">
        <v>45</v>
      </c>
      <c r="B43">
        <v>5250</v>
      </c>
      <c r="C43">
        <v>5075</v>
      </c>
      <c r="F43" s="22" t="s">
        <v>38</v>
      </c>
      <c r="G43" s="27">
        <v>1020.39</v>
      </c>
      <c r="H43">
        <v>903</v>
      </c>
      <c r="I43" s="28">
        <v>4.895592798778583E-3</v>
      </c>
    </row>
    <row r="44" spans="1:9" x14ac:dyDescent="0.25">
      <c r="A44" s="22" t="s">
        <v>38</v>
      </c>
      <c r="B44">
        <v>9400</v>
      </c>
      <c r="C44">
        <v>9050</v>
      </c>
      <c r="F44" s="22" t="s">
        <v>22</v>
      </c>
      <c r="G44" s="27">
        <v>2188.6799999999998</v>
      </c>
      <c r="H44">
        <v>1794</v>
      </c>
      <c r="I44" s="28">
        <v>1.6459601037753905E-2</v>
      </c>
    </row>
    <row r="45" spans="1:9" x14ac:dyDescent="0.25">
      <c r="A45" s="22" t="s">
        <v>22</v>
      </c>
      <c r="B45">
        <v>8950</v>
      </c>
      <c r="C45">
        <v>9025</v>
      </c>
      <c r="F45" s="22" t="s">
        <v>0</v>
      </c>
      <c r="G45" s="27">
        <v>1304.625</v>
      </c>
      <c r="H45">
        <v>1043.7</v>
      </c>
      <c r="I45" s="28">
        <v>1.0881527821972074E-2</v>
      </c>
    </row>
    <row r="46" spans="1:9" x14ac:dyDescent="0.25">
      <c r="A46" s="22" t="s">
        <v>0</v>
      </c>
      <c r="B46">
        <v>11550</v>
      </c>
      <c r="C46">
        <v>11429</v>
      </c>
      <c r="F46" s="22" t="s">
        <v>28</v>
      </c>
      <c r="G46" s="27">
        <v>237.62369999999999</v>
      </c>
      <c r="H46">
        <v>193.19</v>
      </c>
      <c r="I46" s="28">
        <v>1.8530479746408375E-3</v>
      </c>
    </row>
    <row r="47" spans="1:9" x14ac:dyDescent="0.25">
      <c r="A47" s="22" t="s">
        <v>28</v>
      </c>
      <c r="B47">
        <v>48500</v>
      </c>
      <c r="C47">
        <v>48750</v>
      </c>
      <c r="F47" s="22" t="s">
        <v>40</v>
      </c>
      <c r="G47" s="27">
        <v>2984.375</v>
      </c>
      <c r="H47">
        <v>2387.5</v>
      </c>
      <c r="I47" s="28">
        <v>2.4891872832191554E-2</v>
      </c>
    </row>
    <row r="48" spans="1:9" x14ac:dyDescent="0.25">
      <c r="A48" s="22" t="s">
        <v>40</v>
      </c>
      <c r="B48">
        <v>2350</v>
      </c>
      <c r="C48">
        <v>2400</v>
      </c>
      <c r="F48" s="22" t="s">
        <v>12</v>
      </c>
      <c r="G48" s="27">
        <v>1664.04</v>
      </c>
      <c r="H48">
        <v>1386.7</v>
      </c>
      <c r="I48" s="28">
        <v>1.1566093422039802E-2</v>
      </c>
    </row>
    <row r="49" spans="1:9" x14ac:dyDescent="0.25">
      <c r="A49" s="22" t="s">
        <v>12</v>
      </c>
      <c r="B49">
        <v>6950</v>
      </c>
      <c r="C49">
        <v>6930</v>
      </c>
      <c r="F49" s="22" t="s">
        <v>15</v>
      </c>
      <c r="G49" s="27">
        <v>5296.1930000000002</v>
      </c>
      <c r="H49">
        <v>3982.1</v>
      </c>
      <c r="I49" s="28">
        <v>5.4802489374949692E-2</v>
      </c>
    </row>
    <row r="50" spans="1:9" x14ac:dyDescent="0.25">
      <c r="A50" s="22" t="s">
        <v>15</v>
      </c>
      <c r="B50">
        <v>4005</v>
      </c>
      <c r="C50">
        <v>4012</v>
      </c>
      <c r="F50" s="22" t="s">
        <v>23</v>
      </c>
      <c r="G50" s="27">
        <v>380.89800000000002</v>
      </c>
      <c r="H50">
        <v>302.3</v>
      </c>
      <c r="I50" s="28">
        <v>3.277824370034918E-3</v>
      </c>
    </row>
    <row r="51" spans="1:9" x14ac:dyDescent="0.25">
      <c r="A51" s="22" t="s">
        <v>23</v>
      </c>
      <c r="B51">
        <v>6240</v>
      </c>
      <c r="C51">
        <v>6040</v>
      </c>
      <c r="F51" s="22" t="s">
        <v>17</v>
      </c>
      <c r="G51" s="27">
        <v>4426.5</v>
      </c>
      <c r="H51">
        <v>3405</v>
      </c>
      <c r="I51" s="28">
        <v>4.2600290007260601E-2</v>
      </c>
    </row>
    <row r="52" spans="1:9" x14ac:dyDescent="0.25">
      <c r="A52" s="22" t="s">
        <v>17</v>
      </c>
      <c r="B52">
        <v>7000</v>
      </c>
      <c r="C52">
        <v>6810</v>
      </c>
      <c r="F52" s="22" t="s">
        <v>19</v>
      </c>
      <c r="G52" s="27">
        <v>13320</v>
      </c>
      <c r="H52">
        <v>11100</v>
      </c>
      <c r="I52" s="28">
        <v>9.2582128062768998E-2</v>
      </c>
    </row>
    <row r="53" spans="1:9" x14ac:dyDescent="0.25">
      <c r="A53" s="22" t="s">
        <v>19</v>
      </c>
      <c r="B53">
        <v>11100</v>
      </c>
      <c r="C53">
        <v>11115</v>
      </c>
      <c r="F53" s="22" t="s">
        <v>21</v>
      </c>
      <c r="G53" s="27">
        <v>239.1875</v>
      </c>
      <c r="H53">
        <v>191.35</v>
      </c>
      <c r="I53" s="28">
        <v>1.9949988969381587E-3</v>
      </c>
    </row>
    <row r="54" spans="1:9" x14ac:dyDescent="0.25">
      <c r="A54" s="22" t="s">
        <v>21</v>
      </c>
      <c r="B54">
        <v>104500</v>
      </c>
      <c r="C54">
        <v>105325</v>
      </c>
      <c r="F54" s="22" t="s">
        <v>78</v>
      </c>
      <c r="G54" s="27">
        <v>131774.15999999997</v>
      </c>
      <c r="H54">
        <v>107795.45000000001</v>
      </c>
      <c r="I54" s="28">
        <v>1</v>
      </c>
    </row>
    <row r="55" spans="1:9" x14ac:dyDescent="0.25">
      <c r="A55" s="22" t="s">
        <v>78</v>
      </c>
      <c r="B55">
        <v>681986</v>
      </c>
      <c r="C55">
        <v>683409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5FA9-CAC2-4C20-B63A-FDC0260F44ED}">
  <dimension ref="A1:K76"/>
  <sheetViews>
    <sheetView topLeftCell="D1" workbookViewId="0">
      <selection activeCell="H3" sqref="H3"/>
    </sheetView>
  </sheetViews>
  <sheetFormatPr defaultRowHeight="15" x14ac:dyDescent="0.25"/>
  <cols>
    <col min="1" max="1" width="13.7109375" bestFit="1" customWidth="1"/>
    <col min="2" max="2" width="11.42578125" bestFit="1" customWidth="1"/>
    <col min="3" max="3" width="10.140625" bestFit="1" customWidth="1"/>
    <col min="4" max="4" width="10" bestFit="1" customWidth="1"/>
    <col min="5" max="5" width="24.7109375" bestFit="1" customWidth="1"/>
    <col min="8" max="8" width="13.7109375" bestFit="1" customWidth="1"/>
    <col min="9" max="9" width="18.42578125" bestFit="1" customWidth="1"/>
    <col min="10" max="10" width="18.140625" bestFit="1" customWidth="1"/>
    <col min="11" max="11" width="12.140625" bestFit="1" customWidth="1"/>
    <col min="12" max="12" width="20.42578125" bestFit="1" customWidth="1"/>
    <col min="13" max="13" width="23.140625" bestFit="1" customWidth="1"/>
    <col min="14" max="14" width="17.28515625" bestFit="1" customWidth="1"/>
    <col min="15" max="19" width="7" bestFit="1" customWidth="1"/>
    <col min="20" max="20" width="4" bestFit="1" customWidth="1"/>
    <col min="21" max="21" width="7" bestFit="1" customWidth="1"/>
    <col min="22" max="22" width="6" bestFit="1" customWidth="1"/>
    <col min="23" max="30" width="7" bestFit="1" customWidth="1"/>
    <col min="31" max="31" width="8" bestFit="1" customWidth="1"/>
    <col min="32" max="33" width="7" bestFit="1" customWidth="1"/>
    <col min="34" max="34" width="8" bestFit="1" customWidth="1"/>
    <col min="35" max="37" width="7" bestFit="1" customWidth="1"/>
    <col min="38" max="38" width="8" bestFit="1" customWidth="1"/>
    <col min="39" max="39" width="7" bestFit="1" customWidth="1"/>
    <col min="40" max="40" width="8" bestFit="1" customWidth="1"/>
    <col min="41" max="46" width="7" bestFit="1" customWidth="1"/>
    <col min="47" max="47" width="5" bestFit="1" customWidth="1"/>
    <col min="48" max="53" width="7" bestFit="1" customWidth="1"/>
    <col min="54" max="56" width="8" bestFit="1" customWidth="1"/>
    <col min="57" max="57" width="6" bestFit="1" customWidth="1"/>
    <col min="58" max="58" width="9" bestFit="1" customWidth="1"/>
    <col min="59" max="59" width="11.28515625" bestFit="1" customWidth="1"/>
    <col min="60" max="60" width="12.42578125" bestFit="1" customWidth="1"/>
    <col min="61" max="61" width="8.85546875" bestFit="1" customWidth="1"/>
    <col min="62" max="62" width="11.42578125" bestFit="1" customWidth="1"/>
    <col min="63" max="63" width="8.85546875" bestFit="1" customWidth="1"/>
    <col min="64" max="64" width="11.42578125" bestFit="1" customWidth="1"/>
    <col min="65" max="65" width="8.85546875" bestFit="1" customWidth="1"/>
    <col min="66" max="66" width="11.42578125" bestFit="1" customWidth="1"/>
    <col min="67" max="67" width="9.85546875" bestFit="1" customWidth="1"/>
    <col min="68" max="68" width="12.42578125" bestFit="1" customWidth="1"/>
    <col min="69" max="69" width="8.85546875" bestFit="1" customWidth="1"/>
    <col min="70" max="70" width="11.42578125" bestFit="1" customWidth="1"/>
    <col min="71" max="71" width="9.85546875" bestFit="1" customWidth="1"/>
    <col min="72" max="72" width="12.42578125" bestFit="1" customWidth="1"/>
    <col min="73" max="73" width="7" bestFit="1" customWidth="1"/>
    <col min="74" max="74" width="9.85546875" bestFit="1" customWidth="1"/>
    <col min="75" max="75" width="7" bestFit="1" customWidth="1"/>
    <col min="76" max="76" width="9.85546875" bestFit="1" customWidth="1"/>
    <col min="77" max="77" width="8.85546875" bestFit="1" customWidth="1"/>
    <col min="78" max="78" width="11.42578125" bestFit="1" customWidth="1"/>
    <col min="79" max="79" width="8.85546875" bestFit="1" customWidth="1"/>
    <col min="80" max="80" width="11.42578125" bestFit="1" customWidth="1"/>
    <col min="81" max="81" width="8.85546875" bestFit="1" customWidth="1"/>
    <col min="82" max="82" width="11.42578125" bestFit="1" customWidth="1"/>
    <col min="83" max="83" width="7" bestFit="1" customWidth="1"/>
    <col min="84" max="84" width="9.85546875" bestFit="1" customWidth="1"/>
    <col min="85" max="85" width="6.85546875" bestFit="1" customWidth="1"/>
    <col min="86" max="86" width="9.85546875" bestFit="1" customWidth="1"/>
    <col min="87" max="87" width="7" bestFit="1" customWidth="1"/>
    <col min="88" max="88" width="9.85546875" bestFit="1" customWidth="1"/>
    <col min="89" max="89" width="8.85546875" bestFit="1" customWidth="1"/>
    <col min="90" max="90" width="11.42578125" bestFit="1" customWidth="1"/>
    <col min="91" max="91" width="7" bestFit="1" customWidth="1"/>
    <col min="92" max="92" width="9.85546875" bestFit="1" customWidth="1"/>
    <col min="93" max="93" width="8.85546875" bestFit="1" customWidth="1"/>
    <col min="94" max="94" width="11.42578125" bestFit="1" customWidth="1"/>
    <col min="95" max="95" width="8.85546875" bestFit="1" customWidth="1"/>
    <col min="96" max="96" width="11.42578125" bestFit="1" customWidth="1"/>
    <col min="97" max="97" width="8.85546875" bestFit="1" customWidth="1"/>
    <col min="98" max="98" width="11.42578125" bestFit="1" customWidth="1"/>
    <col min="99" max="99" width="9.85546875" bestFit="1" customWidth="1"/>
    <col min="100" max="100" width="12.42578125" bestFit="1" customWidth="1"/>
    <col min="101" max="101" width="9.85546875" bestFit="1" customWidth="1"/>
    <col min="102" max="102" width="12.42578125" bestFit="1" customWidth="1"/>
    <col min="103" max="103" width="9.85546875" bestFit="1" customWidth="1"/>
    <col min="104" max="104" width="12.42578125" bestFit="1" customWidth="1"/>
    <col min="105" max="105" width="7.85546875" bestFit="1" customWidth="1"/>
    <col min="106" max="107" width="10.85546875" bestFit="1" customWidth="1"/>
    <col min="108" max="108" width="13.5703125" bestFit="1" customWidth="1"/>
    <col min="109" max="109" width="11.28515625" bestFit="1" customWidth="1"/>
  </cols>
  <sheetData>
    <row r="1" spans="1:11" x14ac:dyDescent="0.25">
      <c r="A1" s="21" t="s">
        <v>77</v>
      </c>
      <c r="B1" t="s">
        <v>86</v>
      </c>
      <c r="C1" t="s">
        <v>87</v>
      </c>
      <c r="D1" t="s">
        <v>88</v>
      </c>
    </row>
    <row r="2" spans="1:11" x14ac:dyDescent="0.25">
      <c r="A2" s="22" t="s">
        <v>20</v>
      </c>
      <c r="B2">
        <v>1880</v>
      </c>
      <c r="C2">
        <v>1883.2</v>
      </c>
      <c r="D2">
        <v>1816.5</v>
      </c>
    </row>
    <row r="3" spans="1:11" x14ac:dyDescent="0.25">
      <c r="A3" s="22" t="s">
        <v>11</v>
      </c>
      <c r="B3">
        <v>1375</v>
      </c>
      <c r="C3">
        <v>1375</v>
      </c>
      <c r="D3">
        <v>1330.1</v>
      </c>
      <c r="H3" s="21" t="s">
        <v>77</v>
      </c>
      <c r="I3" t="s">
        <v>90</v>
      </c>
      <c r="J3" t="s">
        <v>89</v>
      </c>
      <c r="K3" t="s">
        <v>84</v>
      </c>
    </row>
    <row r="4" spans="1:11" x14ac:dyDescent="0.25">
      <c r="A4" s="22" t="s">
        <v>14</v>
      </c>
      <c r="B4">
        <v>7510</v>
      </c>
      <c r="C4">
        <v>7621</v>
      </c>
      <c r="D4">
        <v>7510</v>
      </c>
      <c r="H4" s="22" t="s">
        <v>20</v>
      </c>
      <c r="I4">
        <v>2616.5</v>
      </c>
      <c r="J4">
        <v>1813.7</v>
      </c>
      <c r="K4">
        <v>1824</v>
      </c>
    </row>
    <row r="5" spans="1:11" x14ac:dyDescent="0.25">
      <c r="A5" s="22" t="s">
        <v>3</v>
      </c>
      <c r="B5">
        <v>2246.3000000000002</v>
      </c>
      <c r="C5">
        <v>2269</v>
      </c>
      <c r="D5">
        <v>2201.1</v>
      </c>
      <c r="H5" s="22" t="s">
        <v>11</v>
      </c>
      <c r="I5">
        <v>1584</v>
      </c>
      <c r="J5">
        <v>1041.5</v>
      </c>
      <c r="K5">
        <v>1339.9</v>
      </c>
    </row>
    <row r="6" spans="1:11" x14ac:dyDescent="0.25">
      <c r="A6" s="22" t="s">
        <v>39</v>
      </c>
      <c r="B6">
        <v>1209.5</v>
      </c>
      <c r="C6">
        <v>1213.5</v>
      </c>
      <c r="D6">
        <v>1202</v>
      </c>
      <c r="H6" s="22" t="s">
        <v>14</v>
      </c>
      <c r="I6">
        <v>8099.5</v>
      </c>
      <c r="J6">
        <v>6430.25</v>
      </c>
      <c r="K6">
        <v>7547</v>
      </c>
    </row>
    <row r="7" spans="1:11" x14ac:dyDescent="0.25">
      <c r="A7" s="22" t="s">
        <v>8</v>
      </c>
      <c r="B7">
        <v>8971.5</v>
      </c>
      <c r="C7">
        <v>9004</v>
      </c>
      <c r="D7">
        <v>8840</v>
      </c>
      <c r="H7" s="22" t="s">
        <v>3</v>
      </c>
      <c r="I7">
        <v>2985.7</v>
      </c>
      <c r="J7">
        <v>2115</v>
      </c>
      <c r="K7">
        <v>2209.1999999999998</v>
      </c>
    </row>
    <row r="8" spans="1:11" x14ac:dyDescent="0.25">
      <c r="A8" s="22" t="s">
        <v>16</v>
      </c>
      <c r="B8">
        <v>1738.6</v>
      </c>
      <c r="C8">
        <v>1738.6</v>
      </c>
      <c r="D8">
        <v>1680.1</v>
      </c>
      <c r="H8" s="22" t="s">
        <v>39</v>
      </c>
      <c r="I8">
        <v>1418.3</v>
      </c>
      <c r="J8">
        <v>1032.3499999999999</v>
      </c>
      <c r="K8">
        <v>1203.8</v>
      </c>
    </row>
    <row r="9" spans="1:11" x14ac:dyDescent="0.25">
      <c r="A9" s="22" t="s">
        <v>34</v>
      </c>
      <c r="B9">
        <v>875</v>
      </c>
      <c r="C9">
        <v>875.15</v>
      </c>
      <c r="D9">
        <v>841.25</v>
      </c>
      <c r="H9" s="22" t="s">
        <v>8</v>
      </c>
      <c r="I9">
        <v>10187</v>
      </c>
      <c r="J9">
        <v>7089.35</v>
      </c>
      <c r="K9">
        <v>8897.5</v>
      </c>
    </row>
    <row r="10" spans="1:11" x14ac:dyDescent="0.25">
      <c r="A10" s="22" t="s">
        <v>32</v>
      </c>
      <c r="B10">
        <v>411.9</v>
      </c>
      <c r="C10">
        <v>413.45</v>
      </c>
      <c r="D10">
        <v>403.25</v>
      </c>
      <c r="H10" s="22" t="s">
        <v>16</v>
      </c>
      <c r="I10">
        <v>2195</v>
      </c>
      <c r="J10">
        <v>1662.7</v>
      </c>
      <c r="K10">
        <v>1694.7</v>
      </c>
    </row>
    <row r="11" spans="1:11" x14ac:dyDescent="0.25">
      <c r="A11" s="22" t="s">
        <v>48</v>
      </c>
      <c r="B11">
        <v>1839.9</v>
      </c>
      <c r="C11">
        <v>1856.9</v>
      </c>
      <c r="D11">
        <v>1818.4</v>
      </c>
      <c r="H11" s="22" t="s">
        <v>34</v>
      </c>
      <c r="I11">
        <v>1102.5</v>
      </c>
      <c r="J11">
        <v>787.9</v>
      </c>
      <c r="K11">
        <v>846.5</v>
      </c>
    </row>
    <row r="12" spans="1:11" x14ac:dyDescent="0.25">
      <c r="A12" s="22" t="s">
        <v>6</v>
      </c>
      <c r="B12">
        <v>1226.5</v>
      </c>
      <c r="C12">
        <v>1249.2</v>
      </c>
      <c r="D12">
        <v>1226.5</v>
      </c>
      <c r="H12" s="22" t="s">
        <v>32</v>
      </c>
      <c r="I12">
        <v>473.45</v>
      </c>
      <c r="J12">
        <v>256.2</v>
      </c>
      <c r="K12">
        <v>405.95</v>
      </c>
    </row>
    <row r="13" spans="1:11" x14ac:dyDescent="0.25">
      <c r="A13" s="22" t="s">
        <v>30</v>
      </c>
      <c r="B13">
        <v>446</v>
      </c>
      <c r="C13">
        <v>448.5</v>
      </c>
      <c r="D13">
        <v>441.05</v>
      </c>
      <c r="H13" s="22" t="s">
        <v>48</v>
      </c>
      <c r="I13">
        <v>2174.5</v>
      </c>
      <c r="J13">
        <v>1660</v>
      </c>
      <c r="K13">
        <v>1850</v>
      </c>
    </row>
    <row r="14" spans="1:11" x14ac:dyDescent="0.25">
      <c r="A14" s="22" t="s">
        <v>7</v>
      </c>
      <c r="B14">
        <v>1297</v>
      </c>
      <c r="C14">
        <v>1302.9000000000001</v>
      </c>
      <c r="D14">
        <v>1278.2</v>
      </c>
      <c r="H14" s="22" t="s">
        <v>6</v>
      </c>
      <c r="I14">
        <v>1673</v>
      </c>
      <c r="J14">
        <v>1216.5999999999999</v>
      </c>
      <c r="K14">
        <v>1242</v>
      </c>
    </row>
    <row r="15" spans="1:11" x14ac:dyDescent="0.25">
      <c r="A15" s="22" t="s">
        <v>13</v>
      </c>
      <c r="B15">
        <v>6915</v>
      </c>
      <c r="C15">
        <v>6916.5</v>
      </c>
      <c r="D15">
        <v>6742</v>
      </c>
      <c r="H15" s="22" t="s">
        <v>30</v>
      </c>
      <c r="I15">
        <v>476</v>
      </c>
      <c r="J15">
        <v>356</v>
      </c>
      <c r="K15">
        <v>445.1</v>
      </c>
    </row>
    <row r="16" spans="1:11" x14ac:dyDescent="0.25">
      <c r="A16" s="22" t="s">
        <v>33</v>
      </c>
      <c r="B16">
        <v>237.55</v>
      </c>
      <c r="C16">
        <v>239.14</v>
      </c>
      <c r="D16">
        <v>232.4</v>
      </c>
      <c r="H16" s="22" t="s">
        <v>7</v>
      </c>
      <c r="I16">
        <v>1379.7</v>
      </c>
      <c r="J16">
        <v>1020</v>
      </c>
      <c r="K16">
        <v>1281.0999999999999</v>
      </c>
    </row>
    <row r="17" spans="1:11" x14ac:dyDescent="0.25">
      <c r="A17" s="22" t="s">
        <v>25</v>
      </c>
      <c r="B17">
        <v>2651</v>
      </c>
      <c r="C17">
        <v>2655</v>
      </c>
      <c r="D17">
        <v>2604.6</v>
      </c>
      <c r="H17" s="22" t="s">
        <v>13</v>
      </c>
      <c r="I17">
        <v>8230</v>
      </c>
      <c r="J17">
        <v>4999.95</v>
      </c>
      <c r="K17">
        <v>6799</v>
      </c>
    </row>
    <row r="18" spans="1:11" x14ac:dyDescent="0.25">
      <c r="A18" s="22" t="s">
        <v>41</v>
      </c>
      <c r="B18">
        <v>1377</v>
      </c>
      <c r="C18">
        <v>1407.4</v>
      </c>
      <c r="D18">
        <v>1359.8</v>
      </c>
      <c r="H18" s="22" t="s">
        <v>33</v>
      </c>
      <c r="I18">
        <v>368.45</v>
      </c>
      <c r="J18">
        <v>194.8</v>
      </c>
      <c r="K18">
        <v>232.71</v>
      </c>
    </row>
    <row r="19" spans="1:11" x14ac:dyDescent="0.25">
      <c r="A19" s="22" t="s">
        <v>49</v>
      </c>
      <c r="B19">
        <v>773.2</v>
      </c>
      <c r="C19">
        <v>774.9</v>
      </c>
      <c r="D19">
        <v>754.55</v>
      </c>
      <c r="H19" s="22" t="s">
        <v>25</v>
      </c>
      <c r="I19">
        <v>2979</v>
      </c>
      <c r="J19">
        <v>2465.5</v>
      </c>
      <c r="K19">
        <v>2642.1</v>
      </c>
    </row>
    <row r="20" spans="1:11" x14ac:dyDescent="0.25">
      <c r="A20" s="22" t="s">
        <v>5</v>
      </c>
      <c r="B20">
        <v>605</v>
      </c>
      <c r="C20">
        <v>612.45000000000005</v>
      </c>
      <c r="D20">
        <v>600</v>
      </c>
      <c r="H20" s="22" t="s">
        <v>41</v>
      </c>
      <c r="I20">
        <v>1780.1</v>
      </c>
      <c r="J20">
        <v>1297.7</v>
      </c>
      <c r="K20">
        <v>1360.1</v>
      </c>
    </row>
    <row r="21" spans="1:11" x14ac:dyDescent="0.25">
      <c r="A21" s="22" t="s">
        <v>10</v>
      </c>
      <c r="B21">
        <v>860</v>
      </c>
      <c r="C21">
        <v>872.95</v>
      </c>
      <c r="D21">
        <v>854.75</v>
      </c>
      <c r="H21" s="22" t="s">
        <v>49</v>
      </c>
      <c r="I21">
        <v>1020.5</v>
      </c>
      <c r="J21">
        <v>741.05</v>
      </c>
      <c r="K21">
        <v>757.95</v>
      </c>
    </row>
    <row r="22" spans="1:11" x14ac:dyDescent="0.25">
      <c r="A22" s="22" t="s">
        <v>24</v>
      </c>
      <c r="B22">
        <v>2123.3000000000002</v>
      </c>
      <c r="C22">
        <v>2127</v>
      </c>
      <c r="D22">
        <v>2069.5</v>
      </c>
      <c r="H22" s="22" t="s">
        <v>5</v>
      </c>
      <c r="I22">
        <v>820.75</v>
      </c>
      <c r="J22">
        <v>590.04999999999995</v>
      </c>
      <c r="K22">
        <v>610.9</v>
      </c>
    </row>
    <row r="23" spans="1:11" x14ac:dyDescent="0.25">
      <c r="A23" s="22" t="s">
        <v>46</v>
      </c>
      <c r="B23">
        <v>1256</v>
      </c>
      <c r="C23">
        <v>1260.9000000000001</v>
      </c>
      <c r="D23">
        <v>1230.0999999999999</v>
      </c>
      <c r="H23" s="22" t="s">
        <v>10</v>
      </c>
      <c r="I23">
        <v>1029.8</v>
      </c>
      <c r="J23">
        <v>546.45000000000005</v>
      </c>
      <c r="K23">
        <v>865</v>
      </c>
    </row>
    <row r="24" spans="1:11" x14ac:dyDescent="0.25">
      <c r="A24" s="22" t="s">
        <v>27</v>
      </c>
      <c r="B24">
        <v>4251</v>
      </c>
      <c r="C24">
        <v>4251</v>
      </c>
      <c r="D24">
        <v>4091.6</v>
      </c>
      <c r="H24" s="22" t="s">
        <v>24</v>
      </c>
      <c r="I24">
        <v>2750</v>
      </c>
      <c r="J24">
        <v>2033.3</v>
      </c>
      <c r="K24">
        <v>2075</v>
      </c>
    </row>
    <row r="25" spans="1:11" x14ac:dyDescent="0.25">
      <c r="A25" s="22" t="s">
        <v>43</v>
      </c>
      <c r="B25">
        <v>1285.2</v>
      </c>
      <c r="C25">
        <v>1294.8</v>
      </c>
      <c r="D25">
        <v>1263.2</v>
      </c>
      <c r="H25" s="22" t="s">
        <v>46</v>
      </c>
      <c r="I25">
        <v>1500</v>
      </c>
      <c r="J25">
        <v>1218.0999999999999</v>
      </c>
      <c r="K25">
        <v>1237.9000000000001</v>
      </c>
    </row>
    <row r="26" spans="1:11" x14ac:dyDescent="0.25">
      <c r="A26" s="22" t="s">
        <v>26</v>
      </c>
      <c r="B26">
        <v>294.7</v>
      </c>
      <c r="C26">
        <v>296.85000000000002</v>
      </c>
      <c r="D26">
        <v>291.55</v>
      </c>
      <c r="H26" s="22" t="s">
        <v>27</v>
      </c>
      <c r="I26">
        <v>6232.5</v>
      </c>
      <c r="J26">
        <v>3895.2</v>
      </c>
      <c r="K26">
        <v>4102.1000000000004</v>
      </c>
    </row>
    <row r="27" spans="1:11" x14ac:dyDescent="0.25">
      <c r="A27" s="22" t="s">
        <v>18</v>
      </c>
      <c r="B27">
        <v>236</v>
      </c>
      <c r="C27">
        <v>236.5</v>
      </c>
      <c r="D27">
        <v>231.55</v>
      </c>
      <c r="H27" s="22" t="s">
        <v>43</v>
      </c>
      <c r="I27">
        <v>1728</v>
      </c>
      <c r="J27">
        <v>1215.0999999999999</v>
      </c>
      <c r="K27">
        <v>1267.5</v>
      </c>
    </row>
    <row r="28" spans="1:11" x14ac:dyDescent="0.25">
      <c r="A28" s="22" t="s">
        <v>9</v>
      </c>
      <c r="B28">
        <v>1150</v>
      </c>
      <c r="C28">
        <v>1150.8</v>
      </c>
      <c r="D28">
        <v>1126.9000000000001</v>
      </c>
      <c r="H28" s="22" t="s">
        <v>26</v>
      </c>
      <c r="I28">
        <v>444.2</v>
      </c>
      <c r="J28">
        <v>288.75</v>
      </c>
      <c r="K28">
        <v>294.55</v>
      </c>
    </row>
    <row r="29" spans="1:11" x14ac:dyDescent="0.25">
      <c r="A29" s="22" t="s">
        <v>37</v>
      </c>
      <c r="B29">
        <v>367.55</v>
      </c>
      <c r="C29">
        <v>368.85</v>
      </c>
      <c r="D29">
        <v>362.5</v>
      </c>
      <c r="H29" s="22" t="s">
        <v>18</v>
      </c>
      <c r="I29">
        <v>338.6</v>
      </c>
      <c r="J29">
        <v>203.1</v>
      </c>
      <c r="K29">
        <v>232</v>
      </c>
    </row>
    <row r="30" spans="1:11" x14ac:dyDescent="0.25">
      <c r="A30" s="22" t="s">
        <v>42</v>
      </c>
      <c r="B30">
        <v>3640</v>
      </c>
      <c r="C30">
        <v>3640</v>
      </c>
      <c r="D30">
        <v>3547</v>
      </c>
      <c r="H30" s="22" t="s">
        <v>9</v>
      </c>
      <c r="I30">
        <v>1284.7</v>
      </c>
      <c r="J30">
        <v>905.2</v>
      </c>
      <c r="K30">
        <v>1130.0999999999999</v>
      </c>
    </row>
    <row r="31" spans="1:11" x14ac:dyDescent="0.25">
      <c r="A31" s="22" t="s">
        <v>36</v>
      </c>
      <c r="B31">
        <v>3100</v>
      </c>
      <c r="C31">
        <v>3105.2</v>
      </c>
      <c r="D31">
        <v>3030</v>
      </c>
      <c r="H31" s="22" t="s">
        <v>37</v>
      </c>
      <c r="I31">
        <v>460.38</v>
      </c>
      <c r="J31">
        <v>355.25</v>
      </c>
      <c r="K31">
        <v>367.15</v>
      </c>
    </row>
    <row r="32" spans="1:11" x14ac:dyDescent="0.25">
      <c r="A32" s="22" t="s">
        <v>35</v>
      </c>
      <c r="B32">
        <v>12626</v>
      </c>
      <c r="C32">
        <v>12646</v>
      </c>
      <c r="D32">
        <v>12342</v>
      </c>
      <c r="H32" s="22" t="s">
        <v>42</v>
      </c>
      <c r="I32">
        <v>4440</v>
      </c>
      <c r="J32">
        <v>2965.3</v>
      </c>
      <c r="K32">
        <v>3570</v>
      </c>
    </row>
    <row r="33" spans="1:11" x14ac:dyDescent="0.25">
      <c r="A33" s="22" t="s">
        <v>4</v>
      </c>
      <c r="B33">
        <v>978.1</v>
      </c>
      <c r="C33">
        <v>990.8</v>
      </c>
      <c r="D33">
        <v>970.8</v>
      </c>
      <c r="H33" s="22" t="s">
        <v>36</v>
      </c>
      <c r="I33">
        <v>3839.9</v>
      </c>
      <c r="J33">
        <v>2425</v>
      </c>
      <c r="K33">
        <v>3044</v>
      </c>
    </row>
    <row r="34" spans="1:11" x14ac:dyDescent="0.25">
      <c r="A34" s="22" t="s">
        <v>2</v>
      </c>
      <c r="B34">
        <v>1204.0999999999999</v>
      </c>
      <c r="C34">
        <v>1215.7</v>
      </c>
      <c r="D34">
        <v>1188.3</v>
      </c>
      <c r="H34" s="22" t="s">
        <v>35</v>
      </c>
      <c r="I34">
        <v>17370</v>
      </c>
      <c r="J34">
        <v>11059.45</v>
      </c>
      <c r="K34">
        <v>12411</v>
      </c>
    </row>
    <row r="35" spans="1:11" x14ac:dyDescent="0.25">
      <c r="A35" s="22" t="s">
        <v>29</v>
      </c>
      <c r="B35">
        <v>379.9</v>
      </c>
      <c r="C35">
        <v>379.9</v>
      </c>
      <c r="D35">
        <v>374.65</v>
      </c>
      <c r="H35" s="22" t="s">
        <v>4</v>
      </c>
      <c r="I35">
        <v>1314.3</v>
      </c>
      <c r="J35">
        <v>933.8</v>
      </c>
      <c r="K35">
        <v>977</v>
      </c>
    </row>
    <row r="36" spans="1:11" x14ac:dyDescent="0.25">
      <c r="A36" s="22" t="s">
        <v>44</v>
      </c>
      <c r="B36">
        <v>270.5</v>
      </c>
      <c r="C36">
        <v>285</v>
      </c>
      <c r="D36">
        <v>269.7</v>
      </c>
      <c r="H36" s="22" t="s">
        <v>2</v>
      </c>
      <c r="I36">
        <v>1340.4</v>
      </c>
      <c r="J36">
        <v>1074</v>
      </c>
      <c r="K36">
        <v>1194.0999999999999</v>
      </c>
    </row>
    <row r="37" spans="1:11" x14ac:dyDescent="0.25">
      <c r="A37" s="22" t="s">
        <v>31</v>
      </c>
      <c r="B37">
        <v>294.45</v>
      </c>
      <c r="C37">
        <v>297.3</v>
      </c>
      <c r="D37">
        <v>290.3</v>
      </c>
      <c r="H37" s="22" t="s">
        <v>29</v>
      </c>
      <c r="I37">
        <v>394.5</v>
      </c>
      <c r="J37">
        <v>315.55</v>
      </c>
      <c r="K37">
        <v>376.5</v>
      </c>
    </row>
    <row r="38" spans="1:11" x14ac:dyDescent="0.25">
      <c r="A38" s="22" t="s">
        <v>47</v>
      </c>
      <c r="B38">
        <v>1401</v>
      </c>
      <c r="C38">
        <v>1404.7</v>
      </c>
      <c r="D38">
        <v>1345</v>
      </c>
      <c r="H38" s="22" t="s">
        <v>44</v>
      </c>
      <c r="I38">
        <v>293</v>
      </c>
      <c r="J38">
        <v>205</v>
      </c>
      <c r="K38">
        <v>281.10000000000002</v>
      </c>
    </row>
    <row r="39" spans="1:11" x14ac:dyDescent="0.25">
      <c r="A39" s="22" t="s">
        <v>1</v>
      </c>
      <c r="B39">
        <v>1835.2</v>
      </c>
      <c r="C39">
        <v>1851.1</v>
      </c>
      <c r="D39">
        <v>1828.9</v>
      </c>
      <c r="H39" s="22" t="s">
        <v>31</v>
      </c>
      <c r="I39">
        <v>322</v>
      </c>
      <c r="J39">
        <v>250</v>
      </c>
      <c r="K39">
        <v>295.7</v>
      </c>
    </row>
    <row r="40" spans="1:11" x14ac:dyDescent="0.25">
      <c r="A40" s="22" t="s">
        <v>45</v>
      </c>
      <c r="B40">
        <v>1051.3</v>
      </c>
      <c r="C40">
        <v>1055.3</v>
      </c>
      <c r="D40">
        <v>1013</v>
      </c>
      <c r="H40" s="22" t="s">
        <v>47</v>
      </c>
      <c r="I40">
        <v>1611.8</v>
      </c>
      <c r="J40">
        <v>1114.8499999999999</v>
      </c>
      <c r="K40">
        <v>1348</v>
      </c>
    </row>
    <row r="41" spans="1:11" x14ac:dyDescent="0.25">
      <c r="A41" s="22" t="s">
        <v>38</v>
      </c>
      <c r="B41">
        <v>950</v>
      </c>
      <c r="C41">
        <v>951</v>
      </c>
      <c r="D41">
        <v>900</v>
      </c>
      <c r="H41" s="22" t="s">
        <v>1</v>
      </c>
      <c r="I41">
        <v>2132</v>
      </c>
      <c r="J41">
        <v>1430.55</v>
      </c>
      <c r="K41">
        <v>1829.2</v>
      </c>
    </row>
    <row r="42" spans="1:11" x14ac:dyDescent="0.25">
      <c r="A42" s="22" t="s">
        <v>22</v>
      </c>
      <c r="B42">
        <v>1785</v>
      </c>
      <c r="C42">
        <v>1819</v>
      </c>
      <c r="D42">
        <v>1785</v>
      </c>
      <c r="H42" s="22" t="s">
        <v>45</v>
      </c>
      <c r="I42">
        <v>1234.7</v>
      </c>
      <c r="J42">
        <v>730</v>
      </c>
      <c r="K42">
        <v>1019.2</v>
      </c>
    </row>
    <row r="43" spans="1:11" x14ac:dyDescent="0.25">
      <c r="A43" s="22" t="s">
        <v>0</v>
      </c>
      <c r="B43">
        <v>1049.3</v>
      </c>
      <c r="C43">
        <v>1057.5</v>
      </c>
      <c r="D43">
        <v>1032.7</v>
      </c>
      <c r="H43" s="22" t="s">
        <v>38</v>
      </c>
      <c r="I43">
        <v>1108</v>
      </c>
      <c r="J43">
        <v>566.5</v>
      </c>
      <c r="K43">
        <v>903</v>
      </c>
    </row>
    <row r="44" spans="1:11" x14ac:dyDescent="0.25">
      <c r="A44" s="22" t="s">
        <v>28</v>
      </c>
      <c r="B44">
        <v>194.32</v>
      </c>
      <c r="C44">
        <v>195.5</v>
      </c>
      <c r="D44">
        <v>192.64</v>
      </c>
      <c r="H44" s="22" t="s">
        <v>22</v>
      </c>
      <c r="I44">
        <v>1851.2</v>
      </c>
      <c r="J44">
        <v>1548</v>
      </c>
      <c r="K44">
        <v>1794</v>
      </c>
    </row>
    <row r="45" spans="1:11" x14ac:dyDescent="0.25">
      <c r="A45" s="22" t="s">
        <v>40</v>
      </c>
      <c r="B45">
        <v>2403.9</v>
      </c>
      <c r="C45">
        <v>2422.1</v>
      </c>
      <c r="D45">
        <v>2385</v>
      </c>
      <c r="H45" s="22" t="s">
        <v>0</v>
      </c>
      <c r="I45">
        <v>1220.9000000000001</v>
      </c>
      <c r="J45">
        <v>952.5</v>
      </c>
      <c r="K45">
        <v>1043.7</v>
      </c>
    </row>
    <row r="46" spans="1:11" x14ac:dyDescent="0.25">
      <c r="A46" s="22" t="s">
        <v>12</v>
      </c>
      <c r="B46">
        <v>1395</v>
      </c>
      <c r="C46">
        <v>1421</v>
      </c>
      <c r="D46">
        <v>1385.5</v>
      </c>
      <c r="H46" s="22" t="s">
        <v>28</v>
      </c>
      <c r="I46">
        <v>216.45</v>
      </c>
      <c r="J46">
        <v>125.3</v>
      </c>
      <c r="K46">
        <v>193.19</v>
      </c>
    </row>
    <row r="47" spans="1:11" x14ac:dyDescent="0.25">
      <c r="A47" s="22" t="s">
        <v>15</v>
      </c>
      <c r="B47">
        <v>4000</v>
      </c>
      <c r="C47">
        <v>4032.8</v>
      </c>
      <c r="D47">
        <v>3972</v>
      </c>
      <c r="H47" s="22" t="s">
        <v>40</v>
      </c>
      <c r="I47">
        <v>3663</v>
      </c>
      <c r="J47">
        <v>2348</v>
      </c>
      <c r="K47">
        <v>2387.5</v>
      </c>
    </row>
    <row r="48" spans="1:11" x14ac:dyDescent="0.25">
      <c r="A48" s="22" t="s">
        <v>23</v>
      </c>
      <c r="B48">
        <v>312.5</v>
      </c>
      <c r="C48">
        <v>312.85000000000002</v>
      </c>
      <c r="D48">
        <v>301.05</v>
      </c>
      <c r="H48" s="22" t="s">
        <v>12</v>
      </c>
      <c r="I48">
        <v>1854</v>
      </c>
      <c r="J48">
        <v>1264.3499999999999</v>
      </c>
      <c r="K48">
        <v>1386.7</v>
      </c>
    </row>
    <row r="49" spans="1:11" x14ac:dyDescent="0.25">
      <c r="A49" s="22" t="s">
        <v>17</v>
      </c>
      <c r="B49">
        <v>3451</v>
      </c>
      <c r="C49">
        <v>3505.9</v>
      </c>
      <c r="D49">
        <v>3373.6</v>
      </c>
      <c r="H49" s="22" t="s">
        <v>15</v>
      </c>
      <c r="I49">
        <v>4378.3999999999996</v>
      </c>
      <c r="J49">
        <v>2925</v>
      </c>
      <c r="K49">
        <v>3982.1</v>
      </c>
    </row>
    <row r="50" spans="1:11" x14ac:dyDescent="0.25">
      <c r="A50" s="22" t="s">
        <v>19</v>
      </c>
      <c r="B50">
        <v>11174</v>
      </c>
      <c r="C50">
        <v>11174</v>
      </c>
      <c r="D50">
        <v>10970</v>
      </c>
      <c r="H50" s="22" t="s">
        <v>23</v>
      </c>
      <c r="I50">
        <v>739.7</v>
      </c>
      <c r="J50">
        <v>301.05</v>
      </c>
      <c r="K50">
        <v>302.3</v>
      </c>
    </row>
    <row r="51" spans="1:11" x14ac:dyDescent="0.25">
      <c r="A51" s="22" t="s">
        <v>21</v>
      </c>
      <c r="B51">
        <v>189.05</v>
      </c>
      <c r="C51">
        <v>192.29</v>
      </c>
      <c r="D51">
        <v>187.9</v>
      </c>
      <c r="H51" s="22" t="s">
        <v>17</v>
      </c>
      <c r="I51">
        <v>6261</v>
      </c>
      <c r="J51">
        <v>3340.3</v>
      </c>
      <c r="K51">
        <v>3405</v>
      </c>
    </row>
    <row r="52" spans="1:11" x14ac:dyDescent="0.25">
      <c r="A52" s="22" t="s">
        <v>78</v>
      </c>
      <c r="B52">
        <v>109094.32</v>
      </c>
      <c r="C52">
        <v>109670.38000000002</v>
      </c>
      <c r="D52">
        <v>107088.49</v>
      </c>
      <c r="H52" s="22" t="s">
        <v>19</v>
      </c>
      <c r="I52">
        <v>13110</v>
      </c>
      <c r="J52">
        <v>10325</v>
      </c>
      <c r="K52">
        <v>11100</v>
      </c>
    </row>
    <row r="53" spans="1:11" x14ac:dyDescent="0.25">
      <c r="H53" s="22" t="s">
        <v>21</v>
      </c>
      <c r="I53">
        <v>274.7</v>
      </c>
      <c r="J53">
        <v>187</v>
      </c>
      <c r="K53">
        <v>191.35</v>
      </c>
    </row>
    <row r="54" spans="1:11" x14ac:dyDescent="0.25">
      <c r="H54" s="22" t="s">
        <v>78</v>
      </c>
      <c r="I54">
        <v>136302.07999999996</v>
      </c>
      <c r="J54">
        <v>93817.550000000032</v>
      </c>
      <c r="K54">
        <v>107795.45000000001</v>
      </c>
    </row>
    <row r="69" spans="2:2" x14ac:dyDescent="0.25">
      <c r="B69" s="21" t="s">
        <v>77</v>
      </c>
    </row>
    <row r="70" spans="2:2" x14ac:dyDescent="0.25">
      <c r="B70" s="22" t="s">
        <v>67</v>
      </c>
    </row>
    <row r="71" spans="2:2" x14ac:dyDescent="0.25">
      <c r="B71" s="22" t="s">
        <v>65</v>
      </c>
    </row>
    <row r="72" spans="2:2" x14ac:dyDescent="0.25">
      <c r="B72" s="22" t="s">
        <v>68</v>
      </c>
    </row>
    <row r="73" spans="2:2" x14ac:dyDescent="0.25">
      <c r="B73" s="22" t="s">
        <v>69</v>
      </c>
    </row>
    <row r="74" spans="2:2" x14ac:dyDescent="0.25">
      <c r="B74" s="22" t="s">
        <v>66</v>
      </c>
    </row>
    <row r="75" spans="2:2" x14ac:dyDescent="0.25">
      <c r="B75" s="22" t="s">
        <v>64</v>
      </c>
    </row>
    <row r="76" spans="2:2" x14ac:dyDescent="0.25">
      <c r="B76" s="22" t="s">
        <v>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E74AF-3AF3-4EE5-A943-61F604BE3C63}">
  <dimension ref="A1"/>
  <sheetViews>
    <sheetView workbookViewId="0">
      <selection activeCell="G15" sqref="G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NIFTY50</vt:lpstr>
      <vt:lpstr>KPI</vt:lpstr>
      <vt:lpstr>KPI output</vt:lpstr>
      <vt:lpstr>KPI charts</vt:lpstr>
      <vt:lpstr>Dashboard</vt:lpstr>
      <vt:lpstr>Pivot Table</vt:lpstr>
      <vt:lpstr>Pivot table2</vt:lpstr>
      <vt:lpstr>Pivot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dc:creator>
  <cp:lastModifiedBy>VIJAY M</cp:lastModifiedBy>
  <dcterms:created xsi:type="dcterms:W3CDTF">2015-06-05T18:17:20Z</dcterms:created>
  <dcterms:modified xsi:type="dcterms:W3CDTF">2026-04-01T13:08:13Z</dcterms:modified>
</cp:coreProperties>
</file>